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VisualStudio\LivreNoirLibrary10\Windows\LivreNoirLibrary.Windows.Media.Integrated\Themes\BmsSkin\"/>
    </mc:Choice>
  </mc:AlternateContent>
  <xr:revisionPtr revIDLastSave="0" documentId="13_ncr:1_{52D8BE7F-4A14-425F-A1BC-03C885ABBC46}" xr6:coauthVersionLast="47" xr6:coauthVersionMax="47" xr10:uidLastSave="{00000000-0000-0000-0000-000000000000}"/>
  <bookViews>
    <workbookView xWindow="-23520" yWindow="1275" windowWidth="22845" windowHeight="14235" activeTab="1" xr2:uid="{C33A0C8D-C268-4B2F-941E-C4C9B83FD88F}"/>
  </bookViews>
  <sheets>
    <sheet name="beam" sheetId="1" r:id="rId1"/>
    <sheet name="timerId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2" i="2"/>
  <c r="A422" i="2"/>
  <c r="A423" i="2"/>
  <c r="A424" i="2"/>
  <c r="A425" i="2"/>
  <c r="A426" i="2"/>
  <c r="A368" i="2"/>
  <c r="A369" i="2"/>
  <c r="A370" i="2"/>
  <c r="A371" i="2"/>
  <c r="A377" i="2" s="1"/>
  <c r="A372" i="2"/>
  <c r="A378" i="2" s="1"/>
  <c r="A374" i="2"/>
  <c r="A380" i="2" s="1"/>
  <c r="A375" i="2"/>
  <c r="A381" i="2" s="1"/>
  <c r="A376" i="2"/>
  <c r="A382" i="2" s="1"/>
  <c r="A14" i="2"/>
  <c r="A15" i="2"/>
  <c r="A16" i="2"/>
  <c r="A17" i="2"/>
  <c r="A18" i="2"/>
  <c r="A24" i="2" s="1"/>
  <c r="A20" i="2"/>
  <c r="A21" i="2"/>
  <c r="A22" i="2"/>
  <c r="A28" i="2" s="1"/>
  <c r="A23" i="2"/>
  <c r="A26" i="2"/>
  <c r="A27" i="2"/>
  <c r="A9" i="2"/>
  <c r="A10" i="2"/>
  <c r="A11" i="2"/>
  <c r="A12" i="2"/>
  <c r="A8" i="2"/>
  <c r="K18" i="1"/>
  <c r="J18" i="1"/>
  <c r="H18" i="1"/>
  <c r="G18" i="1"/>
  <c r="K17" i="1"/>
  <c r="J17" i="1"/>
  <c r="H17" i="1"/>
  <c r="G17" i="1"/>
  <c r="K16" i="1"/>
  <c r="J16" i="1"/>
  <c r="H16" i="1"/>
  <c r="G16" i="1"/>
  <c r="K15" i="1"/>
  <c r="J15" i="1"/>
  <c r="H15" i="1"/>
  <c r="G15" i="1"/>
  <c r="K14" i="1"/>
  <c r="J14" i="1"/>
  <c r="H14" i="1"/>
  <c r="G14" i="1"/>
  <c r="K13" i="1"/>
  <c r="J13" i="1"/>
  <c r="H13" i="1"/>
  <c r="G13" i="1"/>
  <c r="K12" i="1"/>
  <c r="J12" i="1"/>
  <c r="H12" i="1"/>
  <c r="G12" i="1"/>
  <c r="K11" i="1"/>
  <c r="J11" i="1"/>
  <c r="H11" i="1"/>
  <c r="G11" i="1"/>
  <c r="G3" i="1"/>
  <c r="H3" i="1"/>
  <c r="J3" i="1"/>
  <c r="K3" i="1"/>
  <c r="G4" i="1"/>
  <c r="H4" i="1"/>
  <c r="J4" i="1"/>
  <c r="K4" i="1"/>
  <c r="G5" i="1"/>
  <c r="H5" i="1"/>
  <c r="J5" i="1"/>
  <c r="K5" i="1"/>
  <c r="G6" i="1"/>
  <c r="H6" i="1"/>
  <c r="J6" i="1"/>
  <c r="K6" i="1"/>
  <c r="G7" i="1"/>
  <c r="H7" i="1"/>
  <c r="J7" i="1"/>
  <c r="K7" i="1"/>
  <c r="G8" i="1"/>
  <c r="H8" i="1"/>
  <c r="J8" i="1"/>
  <c r="K8" i="1"/>
  <c r="G9" i="1"/>
  <c r="H9" i="1"/>
  <c r="J9" i="1"/>
  <c r="K9" i="1"/>
  <c r="K2" i="1"/>
  <c r="J2" i="1"/>
  <c r="H2" i="1"/>
  <c r="G2" i="1"/>
  <c r="A12" i="1"/>
  <c r="A13" i="1" s="1"/>
  <c r="A14" i="1" s="1"/>
  <c r="A15" i="1" s="1"/>
  <c r="A16" i="1" s="1"/>
  <c r="A17" i="1" s="1"/>
  <c r="A18" i="1" s="1"/>
  <c r="A3" i="1"/>
  <c r="C3" i="1" s="1"/>
  <c r="C2" i="1"/>
  <c r="C11" i="1"/>
  <c r="A388" i="2" l="1"/>
  <c r="A386" i="2"/>
  <c r="A387" i="2"/>
  <c r="A384" i="2"/>
  <c r="A383" i="2"/>
  <c r="A34" i="2"/>
  <c r="A30" i="2"/>
  <c r="A33" i="2"/>
  <c r="A29" i="2"/>
  <c r="A32" i="2"/>
  <c r="A4" i="1"/>
  <c r="C12" i="1"/>
  <c r="C13" i="1"/>
  <c r="A390" i="2" l="1"/>
  <c r="A393" i="2"/>
  <c r="A389" i="2"/>
  <c r="A392" i="2"/>
  <c r="A394" i="2"/>
  <c r="A38" i="2"/>
  <c r="A35" i="2"/>
  <c r="A39" i="2"/>
  <c r="A36" i="2"/>
  <c r="A40" i="2"/>
  <c r="A5" i="1"/>
  <c r="C4" i="1"/>
  <c r="C14" i="1"/>
  <c r="A400" i="2" l="1"/>
  <c r="A395" i="2"/>
  <c r="A398" i="2"/>
  <c r="A399" i="2"/>
  <c r="A396" i="2"/>
  <c r="A46" i="2"/>
  <c r="A45" i="2"/>
  <c r="A41" i="2"/>
  <c r="A42" i="2"/>
  <c r="A44" i="2"/>
  <c r="A6" i="1"/>
  <c r="C5" i="1"/>
  <c r="C15" i="1"/>
  <c r="A402" i="2" l="1"/>
  <c r="A405" i="2"/>
  <c r="A404" i="2"/>
  <c r="A401" i="2"/>
  <c r="A406" i="2"/>
  <c r="A50" i="2"/>
  <c r="A48" i="2"/>
  <c r="A47" i="2"/>
  <c r="A51" i="2"/>
  <c r="A52" i="2"/>
  <c r="C6" i="1"/>
  <c r="A7" i="1"/>
  <c r="C16" i="1"/>
  <c r="A412" i="2" l="1"/>
  <c r="A408" i="2"/>
  <c r="A407" i="2"/>
  <c r="A410" i="2"/>
  <c r="A411" i="2"/>
  <c r="A58" i="2"/>
  <c r="A57" i="2"/>
  <c r="A53" i="2"/>
  <c r="A54" i="2"/>
  <c r="A56" i="2"/>
  <c r="A8" i="1"/>
  <c r="C7" i="1"/>
  <c r="C18" i="1"/>
  <c r="C17" i="1"/>
  <c r="A417" i="2" l="1"/>
  <c r="A414" i="2"/>
  <c r="A418" i="2"/>
  <c r="A416" i="2"/>
  <c r="A413" i="2"/>
  <c r="A62" i="2"/>
  <c r="A60" i="2"/>
  <c r="A59" i="2"/>
  <c r="A63" i="2"/>
  <c r="A64" i="2"/>
  <c r="A9" i="1"/>
  <c r="C9" i="1" s="1"/>
  <c r="C8" i="1"/>
  <c r="A419" i="2" l="1"/>
  <c r="A420" i="2"/>
  <c r="A66" i="2"/>
  <c r="A69" i="2"/>
  <c r="A65" i="2"/>
  <c r="A68" i="2"/>
  <c r="A70" i="2"/>
  <c r="A76" i="2" l="1"/>
  <c r="A71" i="2"/>
  <c r="A74" i="2"/>
  <c r="A75" i="2"/>
  <c r="A72" i="2"/>
  <c r="A78" i="2" l="1"/>
  <c r="A81" i="2"/>
  <c r="A77" i="2"/>
  <c r="A80" i="2"/>
  <c r="A82" i="2"/>
  <c r="A88" i="2" l="1"/>
  <c r="A86" i="2"/>
  <c r="A83" i="2"/>
  <c r="A84" i="2"/>
  <c r="A87" i="2"/>
  <c r="A93" i="2" l="1"/>
  <c r="A90" i="2"/>
  <c r="A89" i="2"/>
  <c r="A92" i="2"/>
  <c r="A94" i="2"/>
  <c r="A95" i="2" l="1"/>
  <c r="A96" i="2"/>
  <c r="A99" i="2"/>
  <c r="A100" i="2"/>
  <c r="A98" i="2"/>
  <c r="A104" i="2" l="1"/>
  <c r="A105" i="2"/>
  <c r="A106" i="2"/>
  <c r="A102" i="2"/>
  <c r="A101" i="2"/>
  <c r="A112" i="2" l="1"/>
  <c r="A107" i="2"/>
  <c r="A108" i="2"/>
  <c r="A111" i="2"/>
  <c r="A110" i="2"/>
  <c r="A114" i="2" l="1"/>
  <c r="A113" i="2"/>
  <c r="A116" i="2"/>
  <c r="A117" i="2"/>
  <c r="A118" i="2"/>
  <c r="A124" i="2" l="1"/>
  <c r="A123" i="2"/>
  <c r="A122" i="2"/>
  <c r="A119" i="2"/>
  <c r="A120" i="2"/>
  <c r="A126" i="2" l="1"/>
  <c r="A125" i="2"/>
  <c r="A128" i="2"/>
  <c r="A129" i="2"/>
  <c r="A130" i="2"/>
  <c r="A134" i="2" l="1"/>
  <c r="A131" i="2"/>
  <c r="A132" i="2"/>
  <c r="A136" i="2"/>
  <c r="A135" i="2"/>
  <c r="A141" i="2" l="1"/>
  <c r="A142" i="2"/>
  <c r="A138" i="2"/>
  <c r="A137" i="2"/>
  <c r="A140" i="2"/>
  <c r="A146" i="2" l="1"/>
  <c r="A143" i="2"/>
  <c r="A144" i="2"/>
  <c r="A148" i="2"/>
  <c r="A147" i="2"/>
  <c r="A150" i="2" l="1"/>
  <c r="A153" i="2"/>
  <c r="A154" i="2"/>
  <c r="A149" i="2"/>
  <c r="A152" i="2"/>
  <c r="A158" i="2" l="1"/>
  <c r="A155" i="2"/>
  <c r="A160" i="2"/>
  <c r="A159" i="2"/>
  <c r="A156" i="2"/>
  <c r="A162" i="2" l="1"/>
  <c r="A165" i="2"/>
  <c r="A166" i="2"/>
  <c r="A161" i="2"/>
  <c r="A164" i="2"/>
  <c r="A170" i="2" l="1"/>
  <c r="A172" i="2"/>
  <c r="A167" i="2"/>
  <c r="A171" i="2"/>
  <c r="A168" i="2"/>
  <c r="A174" i="2" l="1"/>
  <c r="A177" i="2"/>
  <c r="A173" i="2"/>
  <c r="A178" i="2"/>
  <c r="A176" i="2"/>
  <c r="A184" i="2" l="1"/>
  <c r="A179" i="2"/>
  <c r="A183" i="2"/>
  <c r="A180" i="2"/>
  <c r="A182" i="2"/>
  <c r="A185" i="2" l="1"/>
  <c r="A188" i="2"/>
  <c r="A186" i="2"/>
  <c r="A189" i="2"/>
  <c r="A190" i="2"/>
  <c r="A195" i="2" l="1"/>
  <c r="A192" i="2"/>
  <c r="A194" i="2"/>
  <c r="A191" i="2"/>
  <c r="A196" i="2"/>
  <c r="A202" i="2" l="1"/>
  <c r="A200" i="2"/>
  <c r="A198" i="2"/>
  <c r="A201" i="2"/>
  <c r="A197" i="2"/>
  <c r="A207" i="2" l="1"/>
  <c r="A203" i="2"/>
  <c r="A204" i="2"/>
  <c r="A206" i="2"/>
  <c r="A208" i="2"/>
  <c r="A212" i="2" l="1"/>
  <c r="A209" i="2"/>
  <c r="A214" i="2"/>
  <c r="A210" i="2"/>
  <c r="A213" i="2"/>
  <c r="A219" i="2" l="1"/>
  <c r="A216" i="2"/>
  <c r="A220" i="2"/>
  <c r="A215" i="2"/>
  <c r="A218" i="2"/>
  <c r="A222" i="2" l="1"/>
  <c r="A224" i="2"/>
  <c r="A221" i="2"/>
  <c r="A226" i="2"/>
  <c r="A225" i="2"/>
  <c r="A231" i="2" l="1"/>
  <c r="A228" i="2"/>
  <c r="A232" i="2"/>
  <c r="A227" i="2"/>
  <c r="A230" i="2"/>
  <c r="A236" i="2" l="1"/>
  <c r="A233" i="2"/>
  <c r="A238" i="2"/>
  <c r="A234" i="2"/>
  <c r="A237" i="2"/>
  <c r="A243" i="2" l="1"/>
  <c r="A240" i="2"/>
  <c r="A244" i="2"/>
  <c r="A239" i="2"/>
  <c r="A242" i="2"/>
  <c r="A245" i="2" l="1"/>
  <c r="A250" i="2"/>
  <c r="A246" i="2"/>
  <c r="A249" i="2"/>
  <c r="A248" i="2"/>
  <c r="A252" i="2" l="1"/>
  <c r="A254" i="2"/>
  <c r="A256" i="2"/>
  <c r="A255" i="2"/>
  <c r="A251" i="2"/>
  <c r="A257" i="2" l="1"/>
  <c r="A260" i="2"/>
  <c r="A258" i="2"/>
  <c r="A261" i="2"/>
  <c r="A262" i="2"/>
  <c r="A264" i="2" l="1"/>
  <c r="A266" i="2"/>
  <c r="A263" i="2"/>
  <c r="A268" i="2"/>
  <c r="A267" i="2"/>
  <c r="A273" i="2" l="1"/>
  <c r="A274" i="2"/>
  <c r="A269" i="2"/>
  <c r="A272" i="2"/>
  <c r="A270" i="2"/>
  <c r="A275" i="2" l="1"/>
  <c r="A280" i="2"/>
  <c r="A279" i="2"/>
  <c r="A276" i="2"/>
  <c r="A278" i="2"/>
  <c r="A282" i="2" l="1"/>
  <c r="A286" i="2"/>
  <c r="A284" i="2"/>
  <c r="A285" i="2"/>
  <c r="A281" i="2"/>
  <c r="A291" i="2" l="1"/>
  <c r="A287" i="2"/>
  <c r="A290" i="2"/>
  <c r="A292" i="2"/>
  <c r="A288" i="2"/>
  <c r="A294" i="2" l="1"/>
  <c r="A298" i="2"/>
  <c r="A293" i="2"/>
  <c r="A297" i="2"/>
  <c r="A296" i="2"/>
  <c r="A302" i="2" l="1"/>
  <c r="A303" i="2"/>
  <c r="A299" i="2"/>
  <c r="A304" i="2"/>
  <c r="A300" i="2"/>
  <c r="A310" i="2" l="1"/>
  <c r="A309" i="2"/>
  <c r="A308" i="2"/>
  <c r="A306" i="2"/>
  <c r="A305" i="2"/>
  <c r="A311" i="2" l="1"/>
  <c r="A312" i="2"/>
  <c r="A315" i="2"/>
  <c r="A314" i="2"/>
  <c r="A316" i="2"/>
  <c r="A318" i="2" l="1"/>
  <c r="A317" i="2"/>
  <c r="A322" i="2"/>
  <c r="A320" i="2"/>
  <c r="A321" i="2"/>
  <c r="A327" i="2" l="1"/>
  <c r="A324" i="2"/>
  <c r="A326" i="2"/>
  <c r="A328" i="2"/>
  <c r="A323" i="2"/>
  <c r="A334" i="2" l="1"/>
  <c r="A332" i="2"/>
  <c r="A329" i="2"/>
  <c r="A330" i="2"/>
  <c r="A333" i="2"/>
  <c r="A335" i="2" l="1"/>
  <c r="A339" i="2"/>
  <c r="A336" i="2"/>
  <c r="A338" i="2"/>
  <c r="A340" i="2"/>
  <c r="A344" i="2" l="1"/>
  <c r="A346" i="2"/>
  <c r="A342" i="2"/>
  <c r="A345" i="2"/>
  <c r="A341" i="2"/>
  <c r="A348" i="2" l="1"/>
  <c r="A352" i="2"/>
  <c r="A347" i="2"/>
  <c r="A351" i="2"/>
  <c r="A350" i="2"/>
  <c r="A357" i="2" l="1"/>
  <c r="A353" i="2"/>
  <c r="A358" i="2"/>
  <c r="A354" i="2"/>
  <c r="A356" i="2"/>
  <c r="A364" i="2" l="1"/>
  <c r="A362" i="2"/>
  <c r="A359" i="2"/>
  <c r="A363" i="2"/>
  <c r="A360" i="2"/>
  <c r="A365" i="2" l="1"/>
  <c r="A366" i="2"/>
</calcChain>
</file>

<file path=xl/sharedStrings.xml><?xml version="1.0" encoding="utf-8"?>
<sst xmlns="http://schemas.openxmlformats.org/spreadsheetml/2006/main" count="435" uniqueCount="27">
  <si>
    <t>x</t>
    <phoneticPr fontId="1"/>
  </si>
  <si>
    <t>w</t>
    <phoneticPr fontId="1"/>
  </si>
  <si>
    <t>ox</t>
    <phoneticPr fontId="1"/>
  </si>
  <si>
    <t>button</t>
    <phoneticPr fontId="1"/>
  </si>
  <si>
    <t>red</t>
    <phoneticPr fontId="1"/>
  </si>
  <si>
    <t>white</t>
    <phoneticPr fontId="1"/>
  </si>
  <si>
    <t>blue</t>
    <phoneticPr fontId="1"/>
  </si>
  <si>
    <t>name</t>
    <phoneticPr fontId="1"/>
  </si>
  <si>
    <t>texture</t>
    <phoneticPr fontId="1"/>
  </si>
  <si>
    <t>SCR</t>
    <phoneticPr fontId="1"/>
  </si>
  <si>
    <t>&lt;Destination Time="0.05" Height="$Options.Beam Height"/&gt;&lt;/Image&gt;</t>
    <phoneticPr fontId="1"/>
  </si>
  <si>
    <t>&lt;Destination Time="0.1" Width="0" Opacity="0"/&gt;&lt;/Image&gt;</t>
    <phoneticPr fontId="1"/>
  </si>
  <si>
    <t>&lt;Destination Time="0.06" Height="$Options.Beam Height"/&gt;&lt;/Image&gt;</t>
  </si>
  <si>
    <t>&lt;Destination Time="0.07" Height="$Options.Beam Height"/&gt;&lt;/Image&gt;</t>
  </si>
  <si>
    <t>&lt;Destination Time="0.08" Height="$Options.Beam Height"/&gt;&lt;/Image&gt;</t>
  </si>
  <si>
    <t>&lt;Destination Time="0.09" Height="$Options.Beam Height"/&gt;&lt;/Image&gt;</t>
  </si>
  <si>
    <t>&lt;Destination Time="0.10" Height="$Options.Beam Height"/&gt;&lt;/Image&gt;</t>
  </si>
  <si>
    <t>&lt;Destination Time="0.11" Height="$Options.Beam Height"/&gt;&lt;/Image&gt;</t>
  </si>
  <si>
    <t>&lt;Destination Time="0.12" Height="$Options.Beam Height"/&gt;&lt;/Image&gt;</t>
  </si>
  <si>
    <t>Press</t>
    <phoneticPr fontId="1"/>
  </si>
  <si>
    <t>Release</t>
    <phoneticPr fontId="1"/>
  </si>
  <si>
    <t>Bomb</t>
    <phoneticPr fontId="1"/>
  </si>
  <si>
    <t>LongBomb</t>
    <phoneticPr fontId="1"/>
  </si>
  <si>
    <t>Mine</t>
    <phoneticPr fontId="1"/>
  </si>
  <si>
    <t>Judge</t>
    <phoneticPr fontId="1"/>
  </si>
  <si>
    <t>Early</t>
    <phoneticPr fontId="1"/>
  </si>
  <si>
    <t>Late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</si>
</sst>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75D8-5500-4995-BE14-FB7BB1AD2BAF}">
  <dimension ref="A1:L18"/>
  <sheetViews>
    <sheetView workbookViewId="0">
      <selection activeCell="G11" sqref="G11:L18"/>
    </sheetView>
  </sheetViews>
  <sheetFormatPr defaultRowHeight="18.75" x14ac:dyDescent="0.4"/>
  <cols>
    <col min="1" max="1" width="4.5" bestFit="1" customWidth="1"/>
    <col min="2" max="2" width="3.5" bestFit="1" customWidth="1"/>
    <col min="3" max="3" width="4.5" bestFit="1" customWidth="1"/>
    <col min="4" max="4" width="6.25" bestFit="1" customWidth="1"/>
    <col min="6" max="6" width="7.125" bestFit="1" customWidth="1"/>
    <col min="9" max="9" width="10.625" customWidth="1"/>
  </cols>
  <sheetData>
    <row r="1" spans="1:12" x14ac:dyDescent="0.4">
      <c r="A1" t="s">
        <v>0</v>
      </c>
      <c r="B1" t="s">
        <v>1</v>
      </c>
      <c r="C1" t="s">
        <v>2</v>
      </c>
      <c r="D1" t="s">
        <v>7</v>
      </c>
      <c r="E1" t="s">
        <v>8</v>
      </c>
      <c r="F1" t="s">
        <v>3</v>
      </c>
    </row>
    <row r="2" spans="1:12" x14ac:dyDescent="0.4">
      <c r="A2">
        <v>2</v>
      </c>
      <c r="B2">
        <v>60</v>
      </c>
      <c r="C2">
        <f>A2+B2/2</f>
        <v>32</v>
      </c>
      <c r="D2" t="s">
        <v>9</v>
      </c>
      <c r="E2" t="s">
        <v>4</v>
      </c>
      <c r="F2">
        <v>6</v>
      </c>
      <c r="G2" t="str">
        <f>"&lt;Image Name="""&amp;D2&amp;" ON"" Texture=""beam_"&amp;E2&amp;""" DestTimer=""Play_Button"&amp;F2&amp;"_Press""&gt;"</f>
        <v>&lt;Image Name="SCR ON" Texture="beam_red" DestTimer="Play_Button6_Press"&gt;</v>
      </c>
      <c r="H2" t="str">
        <f>"&lt;Destination Rect="""&amp;C2&amp;", 512, "&amp;B2&amp;", 0"" Origin=""0.5, 1""/&gt;"</f>
        <v>&lt;Destination Rect="32, 512, 60, 0" Origin="0.5, 1"/&gt;</v>
      </c>
      <c r="I2" t="s">
        <v>10</v>
      </c>
      <c r="J2" t="str">
        <f>"&lt;Image Name="""&amp;D2&amp;" OFF"" Texture=""beam_"&amp;E2&amp;""" DestTimer=""Play_Button"&amp;F2&amp;"_Release"" DestLoopStart=""-1""&gt;"</f>
        <v>&lt;Image Name="SCR OFF" Texture="beam_red" DestTimer="Play_Button6_Release" DestLoopStart="-1"&gt;</v>
      </c>
      <c r="K2" t="str">
        <f>"&lt;Destination X="""&amp;C2&amp;""" Y=""512"" Width="""&amp;B2&amp;""" Height=""$Options.Beam Height"" Origin=""0.5, 1"" Opacity=""1""/&gt;"</f>
        <v>&lt;Destination X="32" Y="512" Width="60" Height="$Options.Beam Height" Origin="0.5, 1" Opacity="1"/&gt;</v>
      </c>
      <c r="L2" t="s">
        <v>11</v>
      </c>
    </row>
    <row r="3" spans="1:12" x14ac:dyDescent="0.4">
      <c r="A3">
        <f>A2+B2+2</f>
        <v>64</v>
      </c>
      <c r="B3">
        <v>38</v>
      </c>
      <c r="C3">
        <f t="shared" ref="C3:C9" si="0">A3+B3/2</f>
        <v>83</v>
      </c>
      <c r="D3">
        <v>1</v>
      </c>
      <c r="E3" t="s">
        <v>5</v>
      </c>
      <c r="F3">
        <v>1</v>
      </c>
      <c r="G3" t="str">
        <f t="shared" ref="G3:G9" si="1">"&lt;Image Name="""&amp;D3&amp;" ON"" Texture=""beam_"&amp;E3&amp;""" DestTimer=""Play_Button"&amp;F3&amp;"_Press""&gt;"</f>
        <v>&lt;Image Name="1 ON" Texture="beam_white" DestTimer="Play_Button1_Press"&gt;</v>
      </c>
      <c r="H3" t="str">
        <f t="shared" ref="H3:H9" si="2">"&lt;Destination Rect="""&amp;C3&amp;", 512, "&amp;B3&amp;", 0"" Origin=""0.5, 1""/&gt;"</f>
        <v>&lt;Destination Rect="83, 512, 38, 0" Origin="0.5, 1"/&gt;</v>
      </c>
      <c r="I3" t="s">
        <v>12</v>
      </c>
      <c r="J3" t="str">
        <f t="shared" ref="J3:J9" si="3">"&lt;Image Name="""&amp;D3&amp;" OFF"" Texture=""beam_"&amp;E3&amp;""" DestTimer=""Play_Button"&amp;F3&amp;"_Release"" DestLoopStart=""-1""&gt;"</f>
        <v>&lt;Image Name="1 OFF" Texture="beam_white" DestTimer="Play_Button1_Release" DestLoopStart="-1"&gt;</v>
      </c>
      <c r="K3" t="str">
        <f t="shared" ref="K3:K9" si="4">"&lt;Destination X="""&amp;C3&amp;""" Y=""512"" Width="""&amp;B3&amp;""" Height=""$Options.Beam Height"" Origin=""0.5, 1"" Opacity=""1""/&gt;"</f>
        <v>&lt;Destination X="83" Y="512" Width="38" Height="$Options.Beam Height" Origin="0.5, 1" Opacity="1"/&gt;</v>
      </c>
      <c r="L3" t="s">
        <v>11</v>
      </c>
    </row>
    <row r="4" spans="1:12" x14ac:dyDescent="0.4">
      <c r="A4">
        <f t="shared" ref="A4:A9" si="5">A3+B3+2</f>
        <v>104</v>
      </c>
      <c r="B4">
        <v>30</v>
      </c>
      <c r="C4">
        <f t="shared" si="0"/>
        <v>119</v>
      </c>
      <c r="D4">
        <v>2</v>
      </c>
      <c r="E4" t="s">
        <v>6</v>
      </c>
      <c r="F4">
        <v>2</v>
      </c>
      <c r="G4" t="str">
        <f t="shared" si="1"/>
        <v>&lt;Image Name="2 ON" Texture="beam_blue" DestTimer="Play_Button2_Press"&gt;</v>
      </c>
      <c r="H4" t="str">
        <f t="shared" si="2"/>
        <v>&lt;Destination Rect="119, 512, 30, 0" Origin="0.5, 1"/&gt;</v>
      </c>
      <c r="I4" t="s">
        <v>13</v>
      </c>
      <c r="J4" t="str">
        <f t="shared" si="3"/>
        <v>&lt;Image Name="2 OFF" Texture="beam_blue" DestTimer="Play_Button2_Release" DestLoopStart="-1"&gt;</v>
      </c>
      <c r="K4" t="str">
        <f t="shared" si="4"/>
        <v>&lt;Destination X="119" Y="512" Width="30" Height="$Options.Beam Height" Origin="0.5, 1" Opacity="1"/&gt;</v>
      </c>
      <c r="L4" t="s">
        <v>11</v>
      </c>
    </row>
    <row r="5" spans="1:12" x14ac:dyDescent="0.4">
      <c r="A5">
        <f t="shared" si="5"/>
        <v>136</v>
      </c>
      <c r="B5">
        <v>38</v>
      </c>
      <c r="C5">
        <f t="shared" si="0"/>
        <v>155</v>
      </c>
      <c r="D5">
        <v>3</v>
      </c>
      <c r="E5" t="s">
        <v>5</v>
      </c>
      <c r="F5">
        <v>3</v>
      </c>
      <c r="G5" t="str">
        <f t="shared" si="1"/>
        <v>&lt;Image Name="3 ON" Texture="beam_white" DestTimer="Play_Button3_Press"&gt;</v>
      </c>
      <c r="H5" t="str">
        <f t="shared" si="2"/>
        <v>&lt;Destination Rect="155, 512, 38, 0" Origin="0.5, 1"/&gt;</v>
      </c>
      <c r="I5" t="s">
        <v>14</v>
      </c>
      <c r="J5" t="str">
        <f t="shared" si="3"/>
        <v>&lt;Image Name="3 OFF" Texture="beam_white" DestTimer="Play_Button3_Release" DestLoopStart="-1"&gt;</v>
      </c>
      <c r="K5" t="str">
        <f t="shared" si="4"/>
        <v>&lt;Destination X="155" Y="512" Width="38" Height="$Options.Beam Height" Origin="0.5, 1" Opacity="1"/&gt;</v>
      </c>
      <c r="L5" t="s">
        <v>11</v>
      </c>
    </row>
    <row r="6" spans="1:12" x14ac:dyDescent="0.4">
      <c r="A6">
        <f t="shared" si="5"/>
        <v>176</v>
      </c>
      <c r="B6">
        <v>30</v>
      </c>
      <c r="C6">
        <f t="shared" si="0"/>
        <v>191</v>
      </c>
      <c r="D6">
        <v>4</v>
      </c>
      <c r="E6" t="s">
        <v>6</v>
      </c>
      <c r="F6">
        <v>4</v>
      </c>
      <c r="G6" t="str">
        <f t="shared" si="1"/>
        <v>&lt;Image Name="4 ON" Texture="beam_blue" DestTimer="Play_Button4_Press"&gt;</v>
      </c>
      <c r="H6" t="str">
        <f t="shared" si="2"/>
        <v>&lt;Destination Rect="191, 512, 30, 0" Origin="0.5, 1"/&gt;</v>
      </c>
      <c r="I6" t="s">
        <v>15</v>
      </c>
      <c r="J6" t="str">
        <f t="shared" si="3"/>
        <v>&lt;Image Name="4 OFF" Texture="beam_blue" DestTimer="Play_Button4_Release" DestLoopStart="-1"&gt;</v>
      </c>
      <c r="K6" t="str">
        <f t="shared" si="4"/>
        <v>&lt;Destination X="191" Y="512" Width="30" Height="$Options.Beam Height" Origin="0.5, 1" Opacity="1"/&gt;</v>
      </c>
      <c r="L6" t="s">
        <v>11</v>
      </c>
    </row>
    <row r="7" spans="1:12" x14ac:dyDescent="0.4">
      <c r="A7">
        <f t="shared" si="5"/>
        <v>208</v>
      </c>
      <c r="B7">
        <v>38</v>
      </c>
      <c r="C7">
        <f t="shared" si="0"/>
        <v>227</v>
      </c>
      <c r="D7">
        <v>5</v>
      </c>
      <c r="E7" t="s">
        <v>5</v>
      </c>
      <c r="F7">
        <v>5</v>
      </c>
      <c r="G7" t="str">
        <f t="shared" si="1"/>
        <v>&lt;Image Name="5 ON" Texture="beam_white" DestTimer="Play_Button5_Press"&gt;</v>
      </c>
      <c r="H7" t="str">
        <f t="shared" si="2"/>
        <v>&lt;Destination Rect="227, 512, 38, 0" Origin="0.5, 1"/&gt;</v>
      </c>
      <c r="I7" t="s">
        <v>16</v>
      </c>
      <c r="J7" t="str">
        <f t="shared" si="3"/>
        <v>&lt;Image Name="5 OFF" Texture="beam_white" DestTimer="Play_Button5_Release" DestLoopStart="-1"&gt;</v>
      </c>
      <c r="K7" t="str">
        <f t="shared" si="4"/>
        <v>&lt;Destination X="227" Y="512" Width="38" Height="$Options.Beam Height" Origin="0.5, 1" Opacity="1"/&gt;</v>
      </c>
      <c r="L7" t="s">
        <v>11</v>
      </c>
    </row>
    <row r="8" spans="1:12" x14ac:dyDescent="0.4">
      <c r="A8">
        <f t="shared" si="5"/>
        <v>248</v>
      </c>
      <c r="B8">
        <v>30</v>
      </c>
      <c r="C8">
        <f t="shared" si="0"/>
        <v>263</v>
      </c>
      <c r="D8">
        <v>6</v>
      </c>
      <c r="E8" t="s">
        <v>6</v>
      </c>
      <c r="F8">
        <v>8</v>
      </c>
      <c r="G8" t="str">
        <f t="shared" si="1"/>
        <v>&lt;Image Name="6 ON" Texture="beam_blue" DestTimer="Play_Button8_Press"&gt;</v>
      </c>
      <c r="H8" t="str">
        <f t="shared" si="2"/>
        <v>&lt;Destination Rect="263, 512, 30, 0" Origin="0.5, 1"/&gt;</v>
      </c>
      <c r="I8" t="s">
        <v>17</v>
      </c>
      <c r="J8" t="str">
        <f t="shared" si="3"/>
        <v>&lt;Image Name="6 OFF" Texture="beam_blue" DestTimer="Play_Button8_Release" DestLoopStart="-1"&gt;</v>
      </c>
      <c r="K8" t="str">
        <f t="shared" si="4"/>
        <v>&lt;Destination X="263" Y="512" Width="30" Height="$Options.Beam Height" Origin="0.5, 1" Opacity="1"/&gt;</v>
      </c>
      <c r="L8" t="s">
        <v>11</v>
      </c>
    </row>
    <row r="9" spans="1:12" x14ac:dyDescent="0.4">
      <c r="A9">
        <f t="shared" si="5"/>
        <v>280</v>
      </c>
      <c r="B9">
        <v>38</v>
      </c>
      <c r="C9">
        <f t="shared" si="0"/>
        <v>299</v>
      </c>
      <c r="D9">
        <v>7</v>
      </c>
      <c r="E9" t="s">
        <v>5</v>
      </c>
      <c r="F9">
        <v>9</v>
      </c>
      <c r="G9" t="str">
        <f t="shared" si="1"/>
        <v>&lt;Image Name="7 ON" Texture="beam_white" DestTimer="Play_Button9_Press"&gt;</v>
      </c>
      <c r="H9" t="str">
        <f t="shared" si="2"/>
        <v>&lt;Destination Rect="299, 512, 38, 0" Origin="0.5, 1"/&gt;</v>
      </c>
      <c r="I9" t="s">
        <v>18</v>
      </c>
      <c r="J9" t="str">
        <f t="shared" si="3"/>
        <v>&lt;Image Name="7 OFF" Texture="beam_white" DestTimer="Play_Button9_Release" DestLoopStart="-1"&gt;</v>
      </c>
      <c r="K9" t="str">
        <f t="shared" si="4"/>
        <v>&lt;Destination X="299" Y="512" Width="38" Height="$Options.Beam Height" Origin="0.5, 1" Opacity="1"/&gt;</v>
      </c>
      <c r="L9" t="s">
        <v>11</v>
      </c>
    </row>
    <row r="11" spans="1:12" x14ac:dyDescent="0.4">
      <c r="A11">
        <v>2</v>
      </c>
      <c r="B11">
        <v>38</v>
      </c>
      <c r="C11">
        <f>A11+B11/2</f>
        <v>21</v>
      </c>
      <c r="D11">
        <v>1</v>
      </c>
      <c r="E11" t="s">
        <v>5</v>
      </c>
      <c r="F11">
        <v>1</v>
      </c>
      <c r="G11" t="str">
        <f>"&lt;Image Name="""&amp;D11&amp;" ON"" Texture=""beam_"&amp;E11&amp;""" DestTimer=""Play_Button"&amp;F11&amp;"_Press""&gt;"</f>
        <v>&lt;Image Name="1 ON" Texture="beam_white" DestTimer="Play_Button1_Press"&gt;</v>
      </c>
      <c r="H11" t="str">
        <f>"&lt;Destination Rect="""&amp;C11&amp;", 512, "&amp;B11&amp;", 0"" Origin=""0.5, 1""/&gt;"</f>
        <v>&lt;Destination Rect="21, 512, 38, 0" Origin="0.5, 1"/&gt;</v>
      </c>
      <c r="I11" t="s">
        <v>10</v>
      </c>
      <c r="J11" t="str">
        <f>"&lt;Image Name="""&amp;D11&amp;" OFF"" Texture=""beam_"&amp;E11&amp;""" DestTimer=""Play_Button"&amp;F11&amp;"_Release"" DestLoopStart=""-1""&gt;"</f>
        <v>&lt;Image Name="1 OFF" Texture="beam_white" DestTimer="Play_Button1_Release" DestLoopStart="-1"&gt;</v>
      </c>
      <c r="K11" t="str">
        <f>"&lt;Destination X="""&amp;C11&amp;""" Y=""512"" Width="""&amp;B11&amp;""" Height=""$Options.Beam Height"" Origin=""0.5, 1"" Opacity=""1""/&gt;"</f>
        <v>&lt;Destination X="21" Y="512" Width="38" Height="$Options.Beam Height" Origin="0.5, 1" Opacity="1"/&gt;</v>
      </c>
      <c r="L11" t="s">
        <v>11</v>
      </c>
    </row>
    <row r="12" spans="1:12" x14ac:dyDescent="0.4">
      <c r="A12">
        <f>A11+B11+2</f>
        <v>42</v>
      </c>
      <c r="B12">
        <v>30</v>
      </c>
      <c r="C12">
        <f t="shared" ref="C12:C18" si="6">A12+B12/2</f>
        <v>57</v>
      </c>
      <c r="D12">
        <v>2</v>
      </c>
      <c r="E12" t="s">
        <v>6</v>
      </c>
      <c r="F12">
        <v>2</v>
      </c>
      <c r="G12" t="str">
        <f t="shared" ref="G12:G18" si="7">"&lt;Image Name="""&amp;D12&amp;" ON"" Texture=""beam_"&amp;E12&amp;""" DestTimer=""Play_Button"&amp;F12&amp;"_Press""&gt;"</f>
        <v>&lt;Image Name="2 ON" Texture="beam_blue" DestTimer="Play_Button2_Press"&gt;</v>
      </c>
      <c r="H12" t="str">
        <f t="shared" ref="H12:H18" si="8">"&lt;Destination Rect="""&amp;C12&amp;", 512, "&amp;B12&amp;", 0"" Origin=""0.5, 1""/&gt;"</f>
        <v>&lt;Destination Rect="57, 512, 30, 0" Origin="0.5, 1"/&gt;</v>
      </c>
      <c r="I12" t="s">
        <v>12</v>
      </c>
      <c r="J12" t="str">
        <f t="shared" ref="J12:J18" si="9">"&lt;Image Name="""&amp;D12&amp;" OFF"" Texture=""beam_"&amp;E12&amp;""" DestTimer=""Play_Button"&amp;F12&amp;"_Release"" DestLoopStart=""-1""&gt;"</f>
        <v>&lt;Image Name="2 OFF" Texture="beam_blue" DestTimer="Play_Button2_Release" DestLoopStart="-1"&gt;</v>
      </c>
      <c r="K12" t="str">
        <f t="shared" ref="K12:K18" si="10">"&lt;Destination X="""&amp;C12&amp;""" Y=""512"" Width="""&amp;B12&amp;""" Height=""$Options.Beam Height"" Origin=""0.5, 1"" Opacity=""1""/&gt;"</f>
        <v>&lt;Destination X="57" Y="512" Width="30" Height="$Options.Beam Height" Origin="0.5, 1" Opacity="1"/&gt;</v>
      </c>
      <c r="L12" t="s">
        <v>11</v>
      </c>
    </row>
    <row r="13" spans="1:12" x14ac:dyDescent="0.4">
      <c r="A13">
        <f t="shared" ref="A13:A18" si="11">A12+B12+2</f>
        <v>74</v>
      </c>
      <c r="B13">
        <v>38</v>
      </c>
      <c r="C13">
        <f t="shared" si="6"/>
        <v>93</v>
      </c>
      <c r="D13">
        <v>3</v>
      </c>
      <c r="E13" t="s">
        <v>5</v>
      </c>
      <c r="F13">
        <v>3</v>
      </c>
      <c r="G13" t="str">
        <f t="shared" si="7"/>
        <v>&lt;Image Name="3 ON" Texture="beam_white" DestTimer="Play_Button3_Press"&gt;</v>
      </c>
      <c r="H13" t="str">
        <f t="shared" si="8"/>
        <v>&lt;Destination Rect="93, 512, 38, 0" Origin="0.5, 1"/&gt;</v>
      </c>
      <c r="I13" t="s">
        <v>13</v>
      </c>
      <c r="J13" t="str">
        <f t="shared" si="9"/>
        <v>&lt;Image Name="3 OFF" Texture="beam_white" DestTimer="Play_Button3_Release" DestLoopStart="-1"&gt;</v>
      </c>
      <c r="K13" t="str">
        <f t="shared" si="10"/>
        <v>&lt;Destination X="93" Y="512" Width="38" Height="$Options.Beam Height" Origin="0.5, 1" Opacity="1"/&gt;</v>
      </c>
      <c r="L13" t="s">
        <v>11</v>
      </c>
    </row>
    <row r="14" spans="1:12" x14ac:dyDescent="0.4">
      <c r="A14">
        <f t="shared" si="11"/>
        <v>114</v>
      </c>
      <c r="B14">
        <v>30</v>
      </c>
      <c r="C14">
        <f t="shared" si="6"/>
        <v>129</v>
      </c>
      <c r="D14">
        <v>4</v>
      </c>
      <c r="E14" t="s">
        <v>6</v>
      </c>
      <c r="F14">
        <v>4</v>
      </c>
      <c r="G14" t="str">
        <f t="shared" si="7"/>
        <v>&lt;Image Name="4 ON" Texture="beam_blue" DestTimer="Play_Button4_Press"&gt;</v>
      </c>
      <c r="H14" t="str">
        <f t="shared" si="8"/>
        <v>&lt;Destination Rect="129, 512, 30, 0" Origin="0.5, 1"/&gt;</v>
      </c>
      <c r="I14" t="s">
        <v>14</v>
      </c>
      <c r="J14" t="str">
        <f t="shared" si="9"/>
        <v>&lt;Image Name="4 OFF" Texture="beam_blue" DestTimer="Play_Button4_Release" DestLoopStart="-1"&gt;</v>
      </c>
      <c r="K14" t="str">
        <f t="shared" si="10"/>
        <v>&lt;Destination X="129" Y="512" Width="30" Height="$Options.Beam Height" Origin="0.5, 1" Opacity="1"/&gt;</v>
      </c>
      <c r="L14" t="s">
        <v>11</v>
      </c>
    </row>
    <row r="15" spans="1:12" x14ac:dyDescent="0.4">
      <c r="A15">
        <f t="shared" si="11"/>
        <v>146</v>
      </c>
      <c r="B15">
        <v>38</v>
      </c>
      <c r="C15">
        <f t="shared" si="6"/>
        <v>165</v>
      </c>
      <c r="D15">
        <v>5</v>
      </c>
      <c r="E15" t="s">
        <v>5</v>
      </c>
      <c r="F15">
        <v>5</v>
      </c>
      <c r="G15" t="str">
        <f t="shared" si="7"/>
        <v>&lt;Image Name="5 ON" Texture="beam_white" DestTimer="Play_Button5_Press"&gt;</v>
      </c>
      <c r="H15" t="str">
        <f t="shared" si="8"/>
        <v>&lt;Destination Rect="165, 512, 38, 0" Origin="0.5, 1"/&gt;</v>
      </c>
      <c r="I15" t="s">
        <v>15</v>
      </c>
      <c r="J15" t="str">
        <f t="shared" si="9"/>
        <v>&lt;Image Name="5 OFF" Texture="beam_white" DestTimer="Play_Button5_Release" DestLoopStart="-1"&gt;</v>
      </c>
      <c r="K15" t="str">
        <f t="shared" si="10"/>
        <v>&lt;Destination X="165" Y="512" Width="38" Height="$Options.Beam Height" Origin="0.5, 1" Opacity="1"/&gt;</v>
      </c>
      <c r="L15" t="s">
        <v>11</v>
      </c>
    </row>
    <row r="16" spans="1:12" x14ac:dyDescent="0.4">
      <c r="A16">
        <f t="shared" si="11"/>
        <v>186</v>
      </c>
      <c r="B16">
        <v>30</v>
      </c>
      <c r="C16">
        <f t="shared" si="6"/>
        <v>201</v>
      </c>
      <c r="D16">
        <v>6</v>
      </c>
      <c r="E16" t="s">
        <v>6</v>
      </c>
      <c r="F16">
        <v>8</v>
      </c>
      <c r="G16" t="str">
        <f t="shared" si="7"/>
        <v>&lt;Image Name="6 ON" Texture="beam_blue" DestTimer="Play_Button8_Press"&gt;</v>
      </c>
      <c r="H16" t="str">
        <f t="shared" si="8"/>
        <v>&lt;Destination Rect="201, 512, 30, 0" Origin="0.5, 1"/&gt;</v>
      </c>
      <c r="I16" t="s">
        <v>16</v>
      </c>
      <c r="J16" t="str">
        <f t="shared" si="9"/>
        <v>&lt;Image Name="6 OFF" Texture="beam_blue" DestTimer="Play_Button8_Release" DestLoopStart="-1"&gt;</v>
      </c>
      <c r="K16" t="str">
        <f t="shared" si="10"/>
        <v>&lt;Destination X="201" Y="512" Width="30" Height="$Options.Beam Height" Origin="0.5, 1" Opacity="1"/&gt;</v>
      </c>
      <c r="L16" t="s">
        <v>11</v>
      </c>
    </row>
    <row r="17" spans="1:12" x14ac:dyDescent="0.4">
      <c r="A17">
        <f t="shared" si="11"/>
        <v>218</v>
      </c>
      <c r="B17">
        <v>38</v>
      </c>
      <c r="C17">
        <f t="shared" si="6"/>
        <v>237</v>
      </c>
      <c r="D17">
        <v>7</v>
      </c>
      <c r="E17" t="s">
        <v>5</v>
      </c>
      <c r="F17">
        <v>9</v>
      </c>
      <c r="G17" t="str">
        <f t="shared" si="7"/>
        <v>&lt;Image Name="7 ON" Texture="beam_white" DestTimer="Play_Button9_Press"&gt;</v>
      </c>
      <c r="H17" t="str">
        <f t="shared" si="8"/>
        <v>&lt;Destination Rect="237, 512, 38, 0" Origin="0.5, 1"/&gt;</v>
      </c>
      <c r="I17" t="s">
        <v>17</v>
      </c>
      <c r="J17" t="str">
        <f t="shared" si="9"/>
        <v>&lt;Image Name="7 OFF" Texture="beam_white" DestTimer="Play_Button9_Release" DestLoopStart="-1"&gt;</v>
      </c>
      <c r="K17" t="str">
        <f t="shared" si="10"/>
        <v>&lt;Destination X="237" Y="512" Width="38" Height="$Options.Beam Height" Origin="0.5, 1" Opacity="1"/&gt;</v>
      </c>
      <c r="L17" t="s">
        <v>11</v>
      </c>
    </row>
    <row r="18" spans="1:12" x14ac:dyDescent="0.4">
      <c r="A18">
        <f t="shared" si="11"/>
        <v>258</v>
      </c>
      <c r="B18">
        <v>60</v>
      </c>
      <c r="C18">
        <f t="shared" si="6"/>
        <v>288</v>
      </c>
      <c r="D18" t="s">
        <v>9</v>
      </c>
      <c r="E18" t="s">
        <v>4</v>
      </c>
      <c r="F18">
        <v>6</v>
      </c>
      <c r="G18" t="str">
        <f t="shared" si="7"/>
        <v>&lt;Image Name="SCR ON" Texture="beam_red" DestTimer="Play_Button6_Press"&gt;</v>
      </c>
      <c r="H18" t="str">
        <f t="shared" si="8"/>
        <v>&lt;Destination Rect="288, 512, 60, 0" Origin="0.5, 1"/&gt;</v>
      </c>
      <c r="I18" t="s">
        <v>18</v>
      </c>
      <c r="J18" t="str">
        <f t="shared" si="9"/>
        <v>&lt;Image Name="SCR OFF" Texture="beam_red" DestTimer="Play_Button6_Release" DestLoopStart="-1"&gt;</v>
      </c>
      <c r="K18" t="str">
        <f t="shared" si="10"/>
        <v>&lt;Destination X="288" Y="512" Width="60" Height="$Options.Beam Height" Origin="0.5, 1" Opacity="1"/&gt;</v>
      </c>
      <c r="L18" t="s">
        <v>11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07D7-A47F-40A1-AAE7-F9281CAEE926}">
  <dimension ref="A2:G426"/>
  <sheetViews>
    <sheetView tabSelected="1" workbookViewId="0">
      <selection activeCell="G6" sqref="G6"/>
    </sheetView>
  </sheetViews>
  <sheetFormatPr defaultRowHeight="18.75" x14ac:dyDescent="0.4"/>
  <cols>
    <col min="1" max="1" width="3.5" bestFit="1" customWidth="1"/>
    <col min="2" max="2" width="10.875" bestFit="1" customWidth="1"/>
    <col min="3" max="3" width="84.875" bestFit="1" customWidth="1"/>
    <col min="7" max="7" width="72.625" bestFit="1" customWidth="1"/>
  </cols>
  <sheetData>
    <row r="2" spans="1:7" x14ac:dyDescent="0.4">
      <c r="A2">
        <v>1</v>
      </c>
      <c r="B2" t="s">
        <v>19</v>
      </c>
      <c r="C2" t="str">
        <f>IF(A2="","","        Play_Button"&amp;A2&amp;"_"&amp;B2&amp;" = TimerIdOffsets.Button + "&amp;A2&amp;"0 + TimerIdOffsets."&amp;B2&amp;",")</f>
        <v xml:space="preserve">        Play_Button1_Press = TimerIdOffsets.Button + 10 + TimerIdOffsets.Press,</v>
      </c>
      <c r="E2">
        <v>1</v>
      </c>
      <c r="F2" t="s">
        <v>24</v>
      </c>
      <c r="G2" t="str">
        <f>IF(E2="","","        Play_"&amp;E2&amp;"P_"&amp;F2&amp;" = TimerIdOffsets.PlayerJudge + "&amp;E2&amp;"0 + TimerIdOffsets."&amp;F2&amp;",")</f>
        <v xml:space="preserve">        Play_1P_Judge = TimerIdOffsets.PlayerJudge + 10 + TimerIdOffsets.Judge,</v>
      </c>
    </row>
    <row r="3" spans="1:7" x14ac:dyDescent="0.4">
      <c r="A3">
        <v>1</v>
      </c>
      <c r="B3" t="s">
        <v>20</v>
      </c>
      <c r="C3" t="str">
        <f t="shared" ref="C3:C66" si="0">IF(A3="","","        Play_Button"&amp;A3&amp;"_"&amp;B3&amp;" = TimerIdOffsets.Button + "&amp;A3&amp;"0 + TimerIdOffsets."&amp;B3&amp;",")</f>
        <v xml:space="preserve">        Play_Button1_Release = TimerIdOffsets.Button + 10 + TimerIdOffsets.Release,</v>
      </c>
      <c r="E3">
        <v>1</v>
      </c>
      <c r="F3" t="s">
        <v>25</v>
      </c>
      <c r="G3" t="str">
        <f t="shared" ref="G3:G32" si="1">IF(E3="","","        Play_"&amp;E3&amp;"P_"&amp;F3&amp;" = TimerIdOffsets.PlayerJudge + "&amp;E3&amp;"0 + TimerIdOffsets."&amp;F3&amp;",")</f>
        <v xml:space="preserve">        Play_1P_Early = TimerIdOffsets.PlayerJudge + 10 + TimerIdOffsets.Early,</v>
      </c>
    </row>
    <row r="4" spans="1:7" x14ac:dyDescent="0.4">
      <c r="A4">
        <v>1</v>
      </c>
      <c r="B4" t="s">
        <v>21</v>
      </c>
      <c r="C4" t="str">
        <f t="shared" si="0"/>
        <v xml:space="preserve">        Play_Button1_Bomb = TimerIdOffsets.Button + 10 + TimerIdOffsets.Bomb,</v>
      </c>
      <c r="E4">
        <v>1</v>
      </c>
      <c r="F4" t="s">
        <v>26</v>
      </c>
      <c r="G4" t="str">
        <f t="shared" si="1"/>
        <v xml:space="preserve">        Play_1P_Late = TimerIdOffsets.PlayerJudge + 10 + TimerIdOffsets.Late,</v>
      </c>
    </row>
    <row r="5" spans="1:7" x14ac:dyDescent="0.4">
      <c r="A5">
        <v>1</v>
      </c>
      <c r="B5" t="s">
        <v>22</v>
      </c>
      <c r="C5" t="str">
        <f t="shared" si="0"/>
        <v xml:space="preserve">        Play_Button1_LongBomb = TimerIdOffsets.Button + 10 + TimerIdOffsets.LongBomb,</v>
      </c>
      <c r="G5" t="str">
        <f t="shared" si="1"/>
        <v/>
      </c>
    </row>
    <row r="6" spans="1:7" x14ac:dyDescent="0.4">
      <c r="A6">
        <v>1</v>
      </c>
      <c r="B6" t="s">
        <v>23</v>
      </c>
      <c r="C6" t="str">
        <f t="shared" si="0"/>
        <v xml:space="preserve">        Play_Button1_Mine = TimerIdOffsets.Button + 10 + TimerIdOffsets.Mine,</v>
      </c>
      <c r="E6">
        <v>2</v>
      </c>
      <c r="F6" t="s">
        <v>24</v>
      </c>
      <c r="G6" t="str">
        <f t="shared" si="1"/>
        <v xml:space="preserve">        Play_2P_Judge = TimerIdOffsets.PlayerJudge + 20 + TimerIdOffsets.Judge,</v>
      </c>
    </row>
    <row r="7" spans="1:7" x14ac:dyDescent="0.4">
      <c r="C7" t="str">
        <f t="shared" si="0"/>
        <v/>
      </c>
      <c r="E7">
        <v>2</v>
      </c>
      <c r="F7" t="s">
        <v>25</v>
      </c>
      <c r="G7" t="str">
        <f t="shared" si="1"/>
        <v xml:space="preserve">        Play_2P_Early = TimerIdOffsets.PlayerJudge + 20 + TimerIdOffsets.Early,</v>
      </c>
    </row>
    <row r="8" spans="1:7" x14ac:dyDescent="0.4">
      <c r="A8">
        <f>A2+1</f>
        <v>2</v>
      </c>
      <c r="B8" t="s">
        <v>19</v>
      </c>
      <c r="C8" t="str">
        <f t="shared" si="0"/>
        <v xml:space="preserve">        Play_Button2_Press = TimerIdOffsets.Button + 20 + TimerIdOffsets.Press,</v>
      </c>
      <c r="E8">
        <v>2</v>
      </c>
      <c r="F8" t="s">
        <v>26</v>
      </c>
      <c r="G8" t="str">
        <f t="shared" si="1"/>
        <v xml:space="preserve">        Play_2P_Late = TimerIdOffsets.PlayerJudge + 20 + TimerIdOffsets.Late,</v>
      </c>
    </row>
    <row r="9" spans="1:7" x14ac:dyDescent="0.4">
      <c r="A9">
        <f t="shared" ref="A9:A12" si="2">A3+1</f>
        <v>2</v>
      </c>
      <c r="B9" t="s">
        <v>20</v>
      </c>
      <c r="C9" t="str">
        <f t="shared" si="0"/>
        <v xml:space="preserve">        Play_Button2_Release = TimerIdOffsets.Button + 20 + TimerIdOffsets.Release,</v>
      </c>
      <c r="G9" t="str">
        <f t="shared" si="1"/>
        <v/>
      </c>
    </row>
    <row r="10" spans="1:7" x14ac:dyDescent="0.4">
      <c r="A10">
        <f t="shared" si="2"/>
        <v>2</v>
      </c>
      <c r="B10" t="s">
        <v>21</v>
      </c>
      <c r="C10" t="str">
        <f t="shared" si="0"/>
        <v xml:space="preserve">        Play_Button2_Bomb = TimerIdOffsets.Button + 20 + TimerIdOffsets.Bomb,</v>
      </c>
      <c r="E10">
        <v>3</v>
      </c>
      <c r="F10" t="s">
        <v>24</v>
      </c>
      <c r="G10" t="str">
        <f t="shared" si="1"/>
        <v xml:space="preserve">        Play_3P_Judge = TimerIdOffsets.PlayerJudge + 30 + TimerIdOffsets.Judge,</v>
      </c>
    </row>
    <row r="11" spans="1:7" x14ac:dyDescent="0.4">
      <c r="A11">
        <f t="shared" si="2"/>
        <v>2</v>
      </c>
      <c r="B11" t="s">
        <v>22</v>
      </c>
      <c r="C11" t="str">
        <f t="shared" si="0"/>
        <v xml:space="preserve">        Play_Button2_LongBomb = TimerIdOffsets.Button + 20 + TimerIdOffsets.LongBomb,</v>
      </c>
      <c r="E11">
        <v>3</v>
      </c>
      <c r="F11" t="s">
        <v>25</v>
      </c>
      <c r="G11" t="str">
        <f t="shared" si="1"/>
        <v xml:space="preserve">        Play_3P_Early = TimerIdOffsets.PlayerJudge + 30 + TimerIdOffsets.Early,</v>
      </c>
    </row>
    <row r="12" spans="1:7" x14ac:dyDescent="0.4">
      <c r="A12">
        <f t="shared" si="2"/>
        <v>2</v>
      </c>
      <c r="B12" t="s">
        <v>23</v>
      </c>
      <c r="C12" t="str">
        <f t="shared" si="0"/>
        <v xml:space="preserve">        Play_Button2_Mine = TimerIdOffsets.Button + 20 + TimerIdOffsets.Mine,</v>
      </c>
      <c r="E12">
        <v>3</v>
      </c>
      <c r="F12" t="s">
        <v>26</v>
      </c>
      <c r="G12" t="str">
        <f t="shared" si="1"/>
        <v xml:space="preserve">        Play_3P_Late = TimerIdOffsets.PlayerJudge + 30 + TimerIdOffsets.Late,</v>
      </c>
    </row>
    <row r="13" spans="1:7" x14ac:dyDescent="0.4">
      <c r="C13" t="str">
        <f t="shared" si="0"/>
        <v/>
      </c>
      <c r="G13" t="str">
        <f t="shared" si="1"/>
        <v/>
      </c>
    </row>
    <row r="14" spans="1:7" x14ac:dyDescent="0.4">
      <c r="A14">
        <f t="shared" ref="A14:A77" si="3">A8+1</f>
        <v>3</v>
      </c>
      <c r="B14" t="s">
        <v>19</v>
      </c>
      <c r="C14" t="str">
        <f t="shared" si="0"/>
        <v xml:space="preserve">        Play_Button3_Press = TimerIdOffsets.Button + 30 + TimerIdOffsets.Press,</v>
      </c>
      <c r="E14">
        <v>4</v>
      </c>
      <c r="F14" t="s">
        <v>24</v>
      </c>
      <c r="G14" t="str">
        <f t="shared" si="1"/>
        <v xml:space="preserve">        Play_4P_Judge = TimerIdOffsets.PlayerJudge + 40 + TimerIdOffsets.Judge,</v>
      </c>
    </row>
    <row r="15" spans="1:7" x14ac:dyDescent="0.4">
      <c r="A15">
        <f t="shared" si="3"/>
        <v>3</v>
      </c>
      <c r="B15" t="s">
        <v>20</v>
      </c>
      <c r="C15" t="str">
        <f t="shared" si="0"/>
        <v xml:space="preserve">        Play_Button3_Release = TimerIdOffsets.Button + 30 + TimerIdOffsets.Release,</v>
      </c>
      <c r="E15">
        <v>4</v>
      </c>
      <c r="F15" t="s">
        <v>25</v>
      </c>
      <c r="G15" t="str">
        <f t="shared" si="1"/>
        <v xml:space="preserve">        Play_4P_Early = TimerIdOffsets.PlayerJudge + 40 + TimerIdOffsets.Early,</v>
      </c>
    </row>
    <row r="16" spans="1:7" x14ac:dyDescent="0.4">
      <c r="A16">
        <f t="shared" si="3"/>
        <v>3</v>
      </c>
      <c r="B16" t="s">
        <v>21</v>
      </c>
      <c r="C16" t="str">
        <f t="shared" si="0"/>
        <v xml:space="preserve">        Play_Button3_Bomb = TimerIdOffsets.Button + 30 + TimerIdOffsets.Bomb,</v>
      </c>
      <c r="E16">
        <v>4</v>
      </c>
      <c r="F16" t="s">
        <v>26</v>
      </c>
      <c r="G16" t="str">
        <f t="shared" si="1"/>
        <v xml:space="preserve">        Play_4P_Late = TimerIdOffsets.PlayerJudge + 40 + TimerIdOffsets.Late,</v>
      </c>
    </row>
    <row r="17" spans="1:7" x14ac:dyDescent="0.4">
      <c r="A17">
        <f t="shared" si="3"/>
        <v>3</v>
      </c>
      <c r="B17" t="s">
        <v>22</v>
      </c>
      <c r="C17" t="str">
        <f t="shared" si="0"/>
        <v xml:space="preserve">        Play_Button3_LongBomb = TimerIdOffsets.Button + 30 + TimerIdOffsets.LongBomb,</v>
      </c>
      <c r="G17" t="str">
        <f t="shared" si="1"/>
        <v/>
      </c>
    </row>
    <row r="18" spans="1:7" x14ac:dyDescent="0.4">
      <c r="A18">
        <f t="shared" si="3"/>
        <v>3</v>
      </c>
      <c r="B18" t="s">
        <v>23</v>
      </c>
      <c r="C18" t="str">
        <f t="shared" si="0"/>
        <v xml:space="preserve">        Play_Button3_Mine = TimerIdOffsets.Button + 30 + TimerIdOffsets.Mine,</v>
      </c>
      <c r="E18">
        <v>5</v>
      </c>
      <c r="F18" t="s">
        <v>24</v>
      </c>
      <c r="G18" t="str">
        <f t="shared" si="1"/>
        <v xml:space="preserve">        Play_5P_Judge = TimerIdOffsets.PlayerJudge + 50 + TimerIdOffsets.Judge,</v>
      </c>
    </row>
    <row r="19" spans="1:7" x14ac:dyDescent="0.4">
      <c r="C19" t="str">
        <f t="shared" si="0"/>
        <v/>
      </c>
      <c r="E19">
        <v>5</v>
      </c>
      <c r="F19" t="s">
        <v>25</v>
      </c>
      <c r="G19" t="str">
        <f t="shared" si="1"/>
        <v xml:space="preserve">        Play_5P_Early = TimerIdOffsets.PlayerJudge + 50 + TimerIdOffsets.Early,</v>
      </c>
    </row>
    <row r="20" spans="1:7" x14ac:dyDescent="0.4">
      <c r="A20">
        <f t="shared" ref="A20" si="4">A14+1</f>
        <v>4</v>
      </c>
      <c r="B20" t="s">
        <v>19</v>
      </c>
      <c r="C20" t="str">
        <f t="shared" si="0"/>
        <v xml:space="preserve">        Play_Button4_Press = TimerIdOffsets.Button + 40 + TimerIdOffsets.Press,</v>
      </c>
      <c r="E20">
        <v>5</v>
      </c>
      <c r="F20" t="s">
        <v>26</v>
      </c>
      <c r="G20" t="str">
        <f t="shared" si="1"/>
        <v xml:space="preserve">        Play_5P_Late = TimerIdOffsets.PlayerJudge + 50 + TimerIdOffsets.Late,</v>
      </c>
    </row>
    <row r="21" spans="1:7" x14ac:dyDescent="0.4">
      <c r="A21">
        <f t="shared" si="3"/>
        <v>4</v>
      </c>
      <c r="B21" t="s">
        <v>20</v>
      </c>
      <c r="C21" t="str">
        <f t="shared" si="0"/>
        <v xml:space="preserve">        Play_Button4_Release = TimerIdOffsets.Button + 40 + TimerIdOffsets.Release,</v>
      </c>
      <c r="G21" t="str">
        <f t="shared" si="1"/>
        <v/>
      </c>
    </row>
    <row r="22" spans="1:7" x14ac:dyDescent="0.4">
      <c r="A22">
        <f t="shared" si="3"/>
        <v>4</v>
      </c>
      <c r="B22" t="s">
        <v>21</v>
      </c>
      <c r="C22" t="str">
        <f t="shared" si="0"/>
        <v xml:space="preserve">        Play_Button4_Bomb = TimerIdOffsets.Button + 40 + TimerIdOffsets.Bomb,</v>
      </c>
      <c r="E22">
        <v>6</v>
      </c>
      <c r="F22" t="s">
        <v>24</v>
      </c>
      <c r="G22" t="str">
        <f t="shared" si="1"/>
        <v xml:space="preserve">        Play_6P_Judge = TimerIdOffsets.PlayerJudge + 60 + TimerIdOffsets.Judge,</v>
      </c>
    </row>
    <row r="23" spans="1:7" x14ac:dyDescent="0.4">
      <c r="A23">
        <f t="shared" si="3"/>
        <v>4</v>
      </c>
      <c r="B23" t="s">
        <v>22</v>
      </c>
      <c r="C23" t="str">
        <f t="shared" si="0"/>
        <v xml:space="preserve">        Play_Button4_LongBomb = TimerIdOffsets.Button + 40 + TimerIdOffsets.LongBomb,</v>
      </c>
      <c r="E23">
        <v>6</v>
      </c>
      <c r="F23" t="s">
        <v>25</v>
      </c>
      <c r="G23" t="str">
        <f t="shared" si="1"/>
        <v xml:space="preserve">        Play_6P_Early = TimerIdOffsets.PlayerJudge + 60 + TimerIdOffsets.Early,</v>
      </c>
    </row>
    <row r="24" spans="1:7" x14ac:dyDescent="0.4">
      <c r="A24">
        <f t="shared" si="3"/>
        <v>4</v>
      </c>
      <c r="B24" t="s">
        <v>23</v>
      </c>
      <c r="C24" t="str">
        <f t="shared" si="0"/>
        <v xml:space="preserve">        Play_Button4_Mine = TimerIdOffsets.Button + 40 + TimerIdOffsets.Mine,</v>
      </c>
      <c r="E24">
        <v>6</v>
      </c>
      <c r="F24" t="s">
        <v>26</v>
      </c>
      <c r="G24" t="str">
        <f t="shared" si="1"/>
        <v xml:space="preserve">        Play_6P_Late = TimerIdOffsets.PlayerJudge + 60 + TimerIdOffsets.Late,</v>
      </c>
    </row>
    <row r="25" spans="1:7" x14ac:dyDescent="0.4">
      <c r="C25" t="str">
        <f t="shared" si="0"/>
        <v/>
      </c>
      <c r="G25" t="str">
        <f t="shared" si="1"/>
        <v/>
      </c>
    </row>
    <row r="26" spans="1:7" x14ac:dyDescent="0.4">
      <c r="A26">
        <f t="shared" ref="A26" si="5">A20+1</f>
        <v>5</v>
      </c>
      <c r="B26" t="s">
        <v>19</v>
      </c>
      <c r="C26" t="str">
        <f t="shared" si="0"/>
        <v xml:space="preserve">        Play_Button5_Press = TimerIdOffsets.Button + 50 + TimerIdOffsets.Press,</v>
      </c>
      <c r="E26">
        <v>7</v>
      </c>
      <c r="F26" t="s">
        <v>24</v>
      </c>
      <c r="G26" t="str">
        <f t="shared" si="1"/>
        <v xml:space="preserve">        Play_7P_Judge = TimerIdOffsets.PlayerJudge + 70 + TimerIdOffsets.Judge,</v>
      </c>
    </row>
    <row r="27" spans="1:7" x14ac:dyDescent="0.4">
      <c r="A27">
        <f t="shared" si="3"/>
        <v>5</v>
      </c>
      <c r="B27" t="s">
        <v>20</v>
      </c>
      <c r="C27" t="str">
        <f t="shared" si="0"/>
        <v xml:space="preserve">        Play_Button5_Release = TimerIdOffsets.Button + 50 + TimerIdOffsets.Release,</v>
      </c>
      <c r="E27">
        <v>7</v>
      </c>
      <c r="F27" t="s">
        <v>25</v>
      </c>
      <c r="G27" t="str">
        <f t="shared" si="1"/>
        <v xml:space="preserve">        Play_7P_Early = TimerIdOffsets.PlayerJudge + 70 + TimerIdOffsets.Early,</v>
      </c>
    </row>
    <row r="28" spans="1:7" x14ac:dyDescent="0.4">
      <c r="A28">
        <f t="shared" si="3"/>
        <v>5</v>
      </c>
      <c r="B28" t="s">
        <v>21</v>
      </c>
      <c r="C28" t="str">
        <f t="shared" si="0"/>
        <v xml:space="preserve">        Play_Button5_Bomb = TimerIdOffsets.Button + 50 + TimerIdOffsets.Bomb,</v>
      </c>
      <c r="E28">
        <v>7</v>
      </c>
      <c r="F28" t="s">
        <v>26</v>
      </c>
      <c r="G28" t="str">
        <f t="shared" si="1"/>
        <v xml:space="preserve">        Play_7P_Late = TimerIdOffsets.PlayerJudge + 70 + TimerIdOffsets.Late,</v>
      </c>
    </row>
    <row r="29" spans="1:7" x14ac:dyDescent="0.4">
      <c r="A29">
        <f t="shared" si="3"/>
        <v>5</v>
      </c>
      <c r="B29" t="s">
        <v>22</v>
      </c>
      <c r="C29" t="str">
        <f t="shared" si="0"/>
        <v xml:space="preserve">        Play_Button5_LongBomb = TimerIdOffsets.Button + 50 + TimerIdOffsets.LongBomb,</v>
      </c>
      <c r="G29" t="str">
        <f t="shared" si="1"/>
        <v/>
      </c>
    </row>
    <row r="30" spans="1:7" x14ac:dyDescent="0.4">
      <c r="A30">
        <f t="shared" si="3"/>
        <v>5</v>
      </c>
      <c r="B30" t="s">
        <v>23</v>
      </c>
      <c r="C30" t="str">
        <f t="shared" si="0"/>
        <v xml:space="preserve">        Play_Button5_Mine = TimerIdOffsets.Button + 50 + TimerIdOffsets.Mine,</v>
      </c>
      <c r="E30">
        <v>8</v>
      </c>
      <c r="F30" t="s">
        <v>24</v>
      </c>
      <c r="G30" t="str">
        <f t="shared" si="1"/>
        <v xml:space="preserve">        Play_8P_Judge = TimerIdOffsets.PlayerJudge + 80 + TimerIdOffsets.Judge,</v>
      </c>
    </row>
    <row r="31" spans="1:7" x14ac:dyDescent="0.4">
      <c r="C31" t="str">
        <f t="shared" si="0"/>
        <v/>
      </c>
      <c r="E31">
        <v>8</v>
      </c>
      <c r="F31" t="s">
        <v>25</v>
      </c>
      <c r="G31" t="str">
        <f t="shared" si="1"/>
        <v xml:space="preserve">        Play_8P_Early = TimerIdOffsets.PlayerJudge + 80 + TimerIdOffsets.Early,</v>
      </c>
    </row>
    <row r="32" spans="1:7" x14ac:dyDescent="0.4">
      <c r="A32">
        <f t="shared" ref="A32" si="6">A26+1</f>
        <v>6</v>
      </c>
      <c r="B32" t="s">
        <v>19</v>
      </c>
      <c r="C32" t="str">
        <f t="shared" si="0"/>
        <v xml:space="preserve">        Play_Button6_Press = TimerIdOffsets.Button + 60 + TimerIdOffsets.Press,</v>
      </c>
      <c r="E32">
        <v>8</v>
      </c>
      <c r="F32" t="s">
        <v>26</v>
      </c>
      <c r="G32" t="str">
        <f t="shared" si="1"/>
        <v xml:space="preserve">        Play_8P_Late = TimerIdOffsets.PlayerJudge + 80 + TimerIdOffsets.Late,</v>
      </c>
    </row>
    <row r="33" spans="1:3" x14ac:dyDescent="0.4">
      <c r="A33">
        <f t="shared" si="3"/>
        <v>6</v>
      </c>
      <c r="B33" t="s">
        <v>20</v>
      </c>
      <c r="C33" t="str">
        <f t="shared" si="0"/>
        <v xml:space="preserve">        Play_Button6_Release = TimerIdOffsets.Button + 60 + TimerIdOffsets.Release,</v>
      </c>
    </row>
    <row r="34" spans="1:3" x14ac:dyDescent="0.4">
      <c r="A34">
        <f t="shared" si="3"/>
        <v>6</v>
      </c>
      <c r="B34" t="s">
        <v>21</v>
      </c>
      <c r="C34" t="str">
        <f t="shared" si="0"/>
        <v xml:space="preserve">        Play_Button6_Bomb = TimerIdOffsets.Button + 60 + TimerIdOffsets.Bomb,</v>
      </c>
    </row>
    <row r="35" spans="1:3" x14ac:dyDescent="0.4">
      <c r="A35">
        <f t="shared" si="3"/>
        <v>6</v>
      </c>
      <c r="B35" t="s">
        <v>22</v>
      </c>
      <c r="C35" t="str">
        <f t="shared" si="0"/>
        <v xml:space="preserve">        Play_Button6_LongBomb = TimerIdOffsets.Button + 60 + TimerIdOffsets.LongBomb,</v>
      </c>
    </row>
    <row r="36" spans="1:3" x14ac:dyDescent="0.4">
      <c r="A36">
        <f t="shared" si="3"/>
        <v>6</v>
      </c>
      <c r="B36" t="s">
        <v>23</v>
      </c>
      <c r="C36" t="str">
        <f t="shared" si="0"/>
        <v xml:space="preserve">        Play_Button6_Mine = TimerIdOffsets.Button + 60 + TimerIdOffsets.Mine,</v>
      </c>
    </row>
    <row r="37" spans="1:3" x14ac:dyDescent="0.4">
      <c r="C37" t="str">
        <f t="shared" si="0"/>
        <v/>
      </c>
    </row>
    <row r="38" spans="1:3" x14ac:dyDescent="0.4">
      <c r="A38">
        <f t="shared" ref="A38" si="7">A32+1</f>
        <v>7</v>
      </c>
      <c r="B38" t="s">
        <v>19</v>
      </c>
      <c r="C38" t="str">
        <f t="shared" si="0"/>
        <v xml:space="preserve">        Play_Button7_Press = TimerIdOffsets.Button + 70 + TimerIdOffsets.Press,</v>
      </c>
    </row>
    <row r="39" spans="1:3" x14ac:dyDescent="0.4">
      <c r="A39">
        <f t="shared" si="3"/>
        <v>7</v>
      </c>
      <c r="B39" t="s">
        <v>20</v>
      </c>
      <c r="C39" t="str">
        <f t="shared" si="0"/>
        <v xml:space="preserve">        Play_Button7_Release = TimerIdOffsets.Button + 70 + TimerIdOffsets.Release,</v>
      </c>
    </row>
    <row r="40" spans="1:3" x14ac:dyDescent="0.4">
      <c r="A40">
        <f t="shared" si="3"/>
        <v>7</v>
      </c>
      <c r="B40" t="s">
        <v>21</v>
      </c>
      <c r="C40" t="str">
        <f t="shared" si="0"/>
        <v xml:space="preserve">        Play_Button7_Bomb = TimerIdOffsets.Button + 70 + TimerIdOffsets.Bomb,</v>
      </c>
    </row>
    <row r="41" spans="1:3" x14ac:dyDescent="0.4">
      <c r="A41">
        <f t="shared" si="3"/>
        <v>7</v>
      </c>
      <c r="B41" t="s">
        <v>22</v>
      </c>
      <c r="C41" t="str">
        <f t="shared" si="0"/>
        <v xml:space="preserve">        Play_Button7_LongBomb = TimerIdOffsets.Button + 70 + TimerIdOffsets.LongBomb,</v>
      </c>
    </row>
    <row r="42" spans="1:3" x14ac:dyDescent="0.4">
      <c r="A42">
        <f t="shared" si="3"/>
        <v>7</v>
      </c>
      <c r="B42" t="s">
        <v>23</v>
      </c>
      <c r="C42" t="str">
        <f t="shared" si="0"/>
        <v xml:space="preserve">        Play_Button7_Mine = TimerIdOffsets.Button + 70 + TimerIdOffsets.Mine,</v>
      </c>
    </row>
    <row r="43" spans="1:3" x14ac:dyDescent="0.4">
      <c r="C43" t="str">
        <f t="shared" si="0"/>
        <v/>
      </c>
    </row>
    <row r="44" spans="1:3" x14ac:dyDescent="0.4">
      <c r="A44">
        <f t="shared" ref="A44" si="8">A38+1</f>
        <v>8</v>
      </c>
      <c r="B44" t="s">
        <v>19</v>
      </c>
      <c r="C44" t="str">
        <f t="shared" si="0"/>
        <v xml:space="preserve">        Play_Button8_Press = TimerIdOffsets.Button + 80 + TimerIdOffsets.Press,</v>
      </c>
    </row>
    <row r="45" spans="1:3" x14ac:dyDescent="0.4">
      <c r="A45">
        <f t="shared" si="3"/>
        <v>8</v>
      </c>
      <c r="B45" t="s">
        <v>20</v>
      </c>
      <c r="C45" t="str">
        <f t="shared" si="0"/>
        <v xml:space="preserve">        Play_Button8_Release = TimerIdOffsets.Button + 80 + TimerIdOffsets.Release,</v>
      </c>
    </row>
    <row r="46" spans="1:3" x14ac:dyDescent="0.4">
      <c r="A46">
        <f t="shared" si="3"/>
        <v>8</v>
      </c>
      <c r="B46" t="s">
        <v>21</v>
      </c>
      <c r="C46" t="str">
        <f t="shared" si="0"/>
        <v xml:space="preserve">        Play_Button8_Bomb = TimerIdOffsets.Button + 80 + TimerIdOffsets.Bomb,</v>
      </c>
    </row>
    <row r="47" spans="1:3" x14ac:dyDescent="0.4">
      <c r="A47">
        <f t="shared" si="3"/>
        <v>8</v>
      </c>
      <c r="B47" t="s">
        <v>22</v>
      </c>
      <c r="C47" t="str">
        <f t="shared" si="0"/>
        <v xml:space="preserve">        Play_Button8_LongBomb = TimerIdOffsets.Button + 80 + TimerIdOffsets.LongBomb,</v>
      </c>
    </row>
    <row r="48" spans="1:3" x14ac:dyDescent="0.4">
      <c r="A48">
        <f t="shared" si="3"/>
        <v>8</v>
      </c>
      <c r="B48" t="s">
        <v>23</v>
      </c>
      <c r="C48" t="str">
        <f t="shared" si="0"/>
        <v xml:space="preserve">        Play_Button8_Mine = TimerIdOffsets.Button + 80 + TimerIdOffsets.Mine,</v>
      </c>
    </row>
    <row r="49" spans="1:3" x14ac:dyDescent="0.4">
      <c r="C49" t="str">
        <f t="shared" si="0"/>
        <v/>
      </c>
    </row>
    <row r="50" spans="1:3" x14ac:dyDescent="0.4">
      <c r="A50">
        <f t="shared" ref="A50" si="9">A44+1</f>
        <v>9</v>
      </c>
      <c r="B50" t="s">
        <v>19</v>
      </c>
      <c r="C50" t="str">
        <f t="shared" si="0"/>
        <v xml:space="preserve">        Play_Button9_Press = TimerIdOffsets.Button + 90 + TimerIdOffsets.Press,</v>
      </c>
    </row>
    <row r="51" spans="1:3" x14ac:dyDescent="0.4">
      <c r="A51">
        <f t="shared" si="3"/>
        <v>9</v>
      </c>
      <c r="B51" t="s">
        <v>20</v>
      </c>
      <c r="C51" t="str">
        <f t="shared" si="0"/>
        <v xml:space="preserve">        Play_Button9_Release = TimerIdOffsets.Button + 90 + TimerIdOffsets.Release,</v>
      </c>
    </row>
    <row r="52" spans="1:3" x14ac:dyDescent="0.4">
      <c r="A52">
        <f t="shared" si="3"/>
        <v>9</v>
      </c>
      <c r="B52" t="s">
        <v>21</v>
      </c>
      <c r="C52" t="str">
        <f t="shared" si="0"/>
        <v xml:space="preserve">        Play_Button9_Bomb = TimerIdOffsets.Button + 90 + TimerIdOffsets.Bomb,</v>
      </c>
    </row>
    <row r="53" spans="1:3" x14ac:dyDescent="0.4">
      <c r="A53">
        <f t="shared" si="3"/>
        <v>9</v>
      </c>
      <c r="B53" t="s">
        <v>22</v>
      </c>
      <c r="C53" t="str">
        <f t="shared" si="0"/>
        <v xml:space="preserve">        Play_Button9_LongBomb = TimerIdOffsets.Button + 90 + TimerIdOffsets.LongBomb,</v>
      </c>
    </row>
    <row r="54" spans="1:3" x14ac:dyDescent="0.4">
      <c r="A54">
        <f t="shared" si="3"/>
        <v>9</v>
      </c>
      <c r="B54" t="s">
        <v>23</v>
      </c>
      <c r="C54" t="str">
        <f t="shared" si="0"/>
        <v xml:space="preserve">        Play_Button9_Mine = TimerIdOffsets.Button + 90 + TimerIdOffsets.Mine,</v>
      </c>
    </row>
    <row r="55" spans="1:3" x14ac:dyDescent="0.4">
      <c r="C55" t="str">
        <f t="shared" si="0"/>
        <v/>
      </c>
    </row>
    <row r="56" spans="1:3" x14ac:dyDescent="0.4">
      <c r="A56">
        <f t="shared" ref="A56" si="10">A50+1</f>
        <v>10</v>
      </c>
      <c r="B56" t="s">
        <v>19</v>
      </c>
      <c r="C56" t="str">
        <f t="shared" si="0"/>
        <v xml:space="preserve">        Play_Button10_Press = TimerIdOffsets.Button + 100 + TimerIdOffsets.Press,</v>
      </c>
    </row>
    <row r="57" spans="1:3" x14ac:dyDescent="0.4">
      <c r="A57">
        <f t="shared" si="3"/>
        <v>10</v>
      </c>
      <c r="B57" t="s">
        <v>20</v>
      </c>
      <c r="C57" t="str">
        <f t="shared" si="0"/>
        <v xml:space="preserve">        Play_Button10_Release = TimerIdOffsets.Button + 100 + TimerIdOffsets.Release,</v>
      </c>
    </row>
    <row r="58" spans="1:3" x14ac:dyDescent="0.4">
      <c r="A58">
        <f t="shared" si="3"/>
        <v>10</v>
      </c>
      <c r="B58" t="s">
        <v>21</v>
      </c>
      <c r="C58" t="str">
        <f t="shared" si="0"/>
        <v xml:space="preserve">        Play_Button10_Bomb = TimerIdOffsets.Button + 100 + TimerIdOffsets.Bomb,</v>
      </c>
    </row>
    <row r="59" spans="1:3" x14ac:dyDescent="0.4">
      <c r="A59">
        <f t="shared" si="3"/>
        <v>10</v>
      </c>
      <c r="B59" t="s">
        <v>22</v>
      </c>
      <c r="C59" t="str">
        <f t="shared" si="0"/>
        <v xml:space="preserve">        Play_Button10_LongBomb = TimerIdOffsets.Button + 100 + TimerIdOffsets.LongBomb,</v>
      </c>
    </row>
    <row r="60" spans="1:3" x14ac:dyDescent="0.4">
      <c r="A60">
        <f t="shared" si="3"/>
        <v>10</v>
      </c>
      <c r="B60" t="s">
        <v>23</v>
      </c>
      <c r="C60" t="str">
        <f t="shared" si="0"/>
        <v xml:space="preserve">        Play_Button10_Mine = TimerIdOffsets.Button + 100 + TimerIdOffsets.Mine,</v>
      </c>
    </row>
    <row r="61" spans="1:3" x14ac:dyDescent="0.4">
      <c r="C61" t="str">
        <f t="shared" si="0"/>
        <v/>
      </c>
    </row>
    <row r="62" spans="1:3" x14ac:dyDescent="0.4">
      <c r="A62">
        <f t="shared" ref="A62" si="11">A56+1</f>
        <v>11</v>
      </c>
      <c r="B62" t="s">
        <v>19</v>
      </c>
      <c r="C62" t="str">
        <f t="shared" si="0"/>
        <v xml:space="preserve">        Play_Button11_Press = TimerIdOffsets.Button + 110 + TimerIdOffsets.Press,</v>
      </c>
    </row>
    <row r="63" spans="1:3" x14ac:dyDescent="0.4">
      <c r="A63">
        <f t="shared" si="3"/>
        <v>11</v>
      </c>
      <c r="B63" t="s">
        <v>20</v>
      </c>
      <c r="C63" t="str">
        <f t="shared" si="0"/>
        <v xml:space="preserve">        Play_Button11_Release = TimerIdOffsets.Button + 110 + TimerIdOffsets.Release,</v>
      </c>
    </row>
    <row r="64" spans="1:3" x14ac:dyDescent="0.4">
      <c r="A64">
        <f t="shared" si="3"/>
        <v>11</v>
      </c>
      <c r="B64" t="s">
        <v>21</v>
      </c>
      <c r="C64" t="str">
        <f t="shared" si="0"/>
        <v xml:space="preserve">        Play_Button11_Bomb = TimerIdOffsets.Button + 110 + TimerIdOffsets.Bomb,</v>
      </c>
    </row>
    <row r="65" spans="1:3" x14ac:dyDescent="0.4">
      <c r="A65">
        <f t="shared" si="3"/>
        <v>11</v>
      </c>
      <c r="B65" t="s">
        <v>22</v>
      </c>
      <c r="C65" t="str">
        <f t="shared" si="0"/>
        <v xml:space="preserve">        Play_Button11_LongBomb = TimerIdOffsets.Button + 110 + TimerIdOffsets.LongBomb,</v>
      </c>
    </row>
    <row r="66" spans="1:3" x14ac:dyDescent="0.4">
      <c r="A66">
        <f t="shared" si="3"/>
        <v>11</v>
      </c>
      <c r="B66" t="s">
        <v>23</v>
      </c>
      <c r="C66" t="str">
        <f t="shared" si="0"/>
        <v xml:space="preserve">        Play_Button11_Mine = TimerIdOffsets.Button + 110 + TimerIdOffsets.Mine,</v>
      </c>
    </row>
    <row r="67" spans="1:3" x14ac:dyDescent="0.4">
      <c r="C67" t="str">
        <f t="shared" ref="C67:C130" si="12">IF(A67="","","        Play_Button"&amp;A67&amp;"_"&amp;B67&amp;" = TimerIdOffsets.Button + "&amp;A67&amp;"0 + TimerIdOffsets."&amp;B67&amp;",")</f>
        <v/>
      </c>
    </row>
    <row r="68" spans="1:3" x14ac:dyDescent="0.4">
      <c r="A68">
        <f t="shared" ref="A68" si="13">A62+1</f>
        <v>12</v>
      </c>
      <c r="B68" t="s">
        <v>19</v>
      </c>
      <c r="C68" t="str">
        <f t="shared" si="12"/>
        <v xml:space="preserve">        Play_Button12_Press = TimerIdOffsets.Button + 120 + TimerIdOffsets.Press,</v>
      </c>
    </row>
    <row r="69" spans="1:3" x14ac:dyDescent="0.4">
      <c r="A69">
        <f t="shared" si="3"/>
        <v>12</v>
      </c>
      <c r="B69" t="s">
        <v>20</v>
      </c>
      <c r="C69" t="str">
        <f t="shared" si="12"/>
        <v xml:space="preserve">        Play_Button12_Release = TimerIdOffsets.Button + 120 + TimerIdOffsets.Release,</v>
      </c>
    </row>
    <row r="70" spans="1:3" x14ac:dyDescent="0.4">
      <c r="A70">
        <f t="shared" si="3"/>
        <v>12</v>
      </c>
      <c r="B70" t="s">
        <v>21</v>
      </c>
      <c r="C70" t="str">
        <f t="shared" si="12"/>
        <v xml:space="preserve">        Play_Button12_Bomb = TimerIdOffsets.Button + 120 + TimerIdOffsets.Bomb,</v>
      </c>
    </row>
    <row r="71" spans="1:3" x14ac:dyDescent="0.4">
      <c r="A71">
        <f t="shared" si="3"/>
        <v>12</v>
      </c>
      <c r="B71" t="s">
        <v>22</v>
      </c>
      <c r="C71" t="str">
        <f t="shared" si="12"/>
        <v xml:space="preserve">        Play_Button12_LongBomb = TimerIdOffsets.Button + 120 + TimerIdOffsets.LongBomb,</v>
      </c>
    </row>
    <row r="72" spans="1:3" x14ac:dyDescent="0.4">
      <c r="A72">
        <f t="shared" si="3"/>
        <v>12</v>
      </c>
      <c r="B72" t="s">
        <v>23</v>
      </c>
      <c r="C72" t="str">
        <f t="shared" si="12"/>
        <v xml:space="preserve">        Play_Button12_Mine = TimerIdOffsets.Button + 120 + TimerIdOffsets.Mine,</v>
      </c>
    </row>
    <row r="73" spans="1:3" x14ac:dyDescent="0.4">
      <c r="C73" t="str">
        <f t="shared" si="12"/>
        <v/>
      </c>
    </row>
    <row r="74" spans="1:3" x14ac:dyDescent="0.4">
      <c r="A74">
        <f t="shared" ref="A74" si="14">A68+1</f>
        <v>13</v>
      </c>
      <c r="B74" t="s">
        <v>19</v>
      </c>
      <c r="C74" t="str">
        <f t="shared" si="12"/>
        <v xml:space="preserve">        Play_Button13_Press = TimerIdOffsets.Button + 130 + TimerIdOffsets.Press,</v>
      </c>
    </row>
    <row r="75" spans="1:3" x14ac:dyDescent="0.4">
      <c r="A75">
        <f t="shared" si="3"/>
        <v>13</v>
      </c>
      <c r="B75" t="s">
        <v>20</v>
      </c>
      <c r="C75" t="str">
        <f t="shared" si="12"/>
        <v xml:space="preserve">        Play_Button13_Release = TimerIdOffsets.Button + 130 + TimerIdOffsets.Release,</v>
      </c>
    </row>
    <row r="76" spans="1:3" x14ac:dyDescent="0.4">
      <c r="A76">
        <f t="shared" si="3"/>
        <v>13</v>
      </c>
      <c r="B76" t="s">
        <v>21</v>
      </c>
      <c r="C76" t="str">
        <f t="shared" si="12"/>
        <v xml:space="preserve">        Play_Button13_Bomb = TimerIdOffsets.Button + 130 + TimerIdOffsets.Bomb,</v>
      </c>
    </row>
    <row r="77" spans="1:3" x14ac:dyDescent="0.4">
      <c r="A77">
        <f t="shared" si="3"/>
        <v>13</v>
      </c>
      <c r="B77" t="s">
        <v>22</v>
      </c>
      <c r="C77" t="str">
        <f t="shared" si="12"/>
        <v xml:space="preserve">        Play_Button13_LongBomb = TimerIdOffsets.Button + 130 + TimerIdOffsets.LongBomb,</v>
      </c>
    </row>
    <row r="78" spans="1:3" x14ac:dyDescent="0.4">
      <c r="A78">
        <f t="shared" ref="A78:A141" si="15">A72+1</f>
        <v>13</v>
      </c>
      <c r="B78" t="s">
        <v>23</v>
      </c>
      <c r="C78" t="str">
        <f t="shared" si="12"/>
        <v xml:space="preserve">        Play_Button13_Mine = TimerIdOffsets.Button + 130 + TimerIdOffsets.Mine,</v>
      </c>
    </row>
    <row r="79" spans="1:3" x14ac:dyDescent="0.4">
      <c r="C79" t="str">
        <f t="shared" si="12"/>
        <v/>
      </c>
    </row>
    <row r="80" spans="1:3" x14ac:dyDescent="0.4">
      <c r="A80">
        <f t="shared" ref="A80" si="16">A74+1</f>
        <v>14</v>
      </c>
      <c r="B80" t="s">
        <v>19</v>
      </c>
      <c r="C80" t="str">
        <f t="shared" si="12"/>
        <v xml:space="preserve">        Play_Button14_Press = TimerIdOffsets.Button + 140 + TimerIdOffsets.Press,</v>
      </c>
    </row>
    <row r="81" spans="1:3" x14ac:dyDescent="0.4">
      <c r="A81">
        <f t="shared" si="15"/>
        <v>14</v>
      </c>
      <c r="B81" t="s">
        <v>20</v>
      </c>
      <c r="C81" t="str">
        <f t="shared" si="12"/>
        <v xml:space="preserve">        Play_Button14_Release = TimerIdOffsets.Button + 140 + TimerIdOffsets.Release,</v>
      </c>
    </row>
    <row r="82" spans="1:3" x14ac:dyDescent="0.4">
      <c r="A82">
        <f t="shared" si="15"/>
        <v>14</v>
      </c>
      <c r="B82" t="s">
        <v>21</v>
      </c>
      <c r="C82" t="str">
        <f t="shared" si="12"/>
        <v xml:space="preserve">        Play_Button14_Bomb = TimerIdOffsets.Button + 140 + TimerIdOffsets.Bomb,</v>
      </c>
    </row>
    <row r="83" spans="1:3" x14ac:dyDescent="0.4">
      <c r="A83">
        <f t="shared" si="15"/>
        <v>14</v>
      </c>
      <c r="B83" t="s">
        <v>22</v>
      </c>
      <c r="C83" t="str">
        <f t="shared" si="12"/>
        <v xml:space="preserve">        Play_Button14_LongBomb = TimerIdOffsets.Button + 140 + TimerIdOffsets.LongBomb,</v>
      </c>
    </row>
    <row r="84" spans="1:3" x14ac:dyDescent="0.4">
      <c r="A84">
        <f t="shared" si="15"/>
        <v>14</v>
      </c>
      <c r="B84" t="s">
        <v>23</v>
      </c>
      <c r="C84" t="str">
        <f t="shared" si="12"/>
        <v xml:space="preserve">        Play_Button14_Mine = TimerIdOffsets.Button + 140 + TimerIdOffsets.Mine,</v>
      </c>
    </row>
    <row r="85" spans="1:3" x14ac:dyDescent="0.4">
      <c r="C85" t="str">
        <f t="shared" si="12"/>
        <v/>
      </c>
    </row>
    <row r="86" spans="1:3" x14ac:dyDescent="0.4">
      <c r="A86">
        <f t="shared" ref="A86" si="17">A80+1</f>
        <v>15</v>
      </c>
      <c r="B86" t="s">
        <v>19</v>
      </c>
      <c r="C86" t="str">
        <f t="shared" si="12"/>
        <v xml:space="preserve">        Play_Button15_Press = TimerIdOffsets.Button + 150 + TimerIdOffsets.Press,</v>
      </c>
    </row>
    <row r="87" spans="1:3" x14ac:dyDescent="0.4">
      <c r="A87">
        <f t="shared" si="15"/>
        <v>15</v>
      </c>
      <c r="B87" t="s">
        <v>20</v>
      </c>
      <c r="C87" t="str">
        <f t="shared" si="12"/>
        <v xml:space="preserve">        Play_Button15_Release = TimerIdOffsets.Button + 150 + TimerIdOffsets.Release,</v>
      </c>
    </row>
    <row r="88" spans="1:3" x14ac:dyDescent="0.4">
      <c r="A88">
        <f t="shared" si="15"/>
        <v>15</v>
      </c>
      <c r="B88" t="s">
        <v>21</v>
      </c>
      <c r="C88" t="str">
        <f t="shared" si="12"/>
        <v xml:space="preserve">        Play_Button15_Bomb = TimerIdOffsets.Button + 150 + TimerIdOffsets.Bomb,</v>
      </c>
    </row>
    <row r="89" spans="1:3" x14ac:dyDescent="0.4">
      <c r="A89">
        <f t="shared" si="15"/>
        <v>15</v>
      </c>
      <c r="B89" t="s">
        <v>22</v>
      </c>
      <c r="C89" t="str">
        <f t="shared" si="12"/>
        <v xml:space="preserve">        Play_Button15_LongBomb = TimerIdOffsets.Button + 150 + TimerIdOffsets.LongBomb,</v>
      </c>
    </row>
    <row r="90" spans="1:3" x14ac:dyDescent="0.4">
      <c r="A90">
        <f t="shared" si="15"/>
        <v>15</v>
      </c>
      <c r="B90" t="s">
        <v>23</v>
      </c>
      <c r="C90" t="str">
        <f t="shared" si="12"/>
        <v xml:space="preserve">        Play_Button15_Mine = TimerIdOffsets.Button + 150 + TimerIdOffsets.Mine,</v>
      </c>
    </row>
    <row r="91" spans="1:3" x14ac:dyDescent="0.4">
      <c r="C91" t="str">
        <f t="shared" si="12"/>
        <v/>
      </c>
    </row>
    <row r="92" spans="1:3" x14ac:dyDescent="0.4">
      <c r="A92">
        <f t="shared" ref="A92" si="18">A86+1</f>
        <v>16</v>
      </c>
      <c r="B92" t="s">
        <v>19</v>
      </c>
      <c r="C92" t="str">
        <f t="shared" si="12"/>
        <v xml:space="preserve">        Play_Button16_Press = TimerIdOffsets.Button + 160 + TimerIdOffsets.Press,</v>
      </c>
    </row>
    <row r="93" spans="1:3" x14ac:dyDescent="0.4">
      <c r="A93">
        <f t="shared" si="15"/>
        <v>16</v>
      </c>
      <c r="B93" t="s">
        <v>20</v>
      </c>
      <c r="C93" t="str">
        <f t="shared" si="12"/>
        <v xml:space="preserve">        Play_Button16_Release = TimerIdOffsets.Button + 160 + TimerIdOffsets.Release,</v>
      </c>
    </row>
    <row r="94" spans="1:3" x14ac:dyDescent="0.4">
      <c r="A94">
        <f t="shared" si="15"/>
        <v>16</v>
      </c>
      <c r="B94" t="s">
        <v>21</v>
      </c>
      <c r="C94" t="str">
        <f t="shared" si="12"/>
        <v xml:space="preserve">        Play_Button16_Bomb = TimerIdOffsets.Button + 160 + TimerIdOffsets.Bomb,</v>
      </c>
    </row>
    <row r="95" spans="1:3" x14ac:dyDescent="0.4">
      <c r="A95">
        <f t="shared" si="15"/>
        <v>16</v>
      </c>
      <c r="B95" t="s">
        <v>22</v>
      </c>
      <c r="C95" t="str">
        <f t="shared" si="12"/>
        <v xml:space="preserve">        Play_Button16_LongBomb = TimerIdOffsets.Button + 160 + TimerIdOffsets.LongBomb,</v>
      </c>
    </row>
    <row r="96" spans="1:3" x14ac:dyDescent="0.4">
      <c r="A96">
        <f t="shared" si="15"/>
        <v>16</v>
      </c>
      <c r="B96" t="s">
        <v>23</v>
      </c>
      <c r="C96" t="str">
        <f t="shared" si="12"/>
        <v xml:space="preserve">        Play_Button16_Mine = TimerIdOffsets.Button + 160 + TimerIdOffsets.Mine,</v>
      </c>
    </row>
    <row r="97" spans="1:3" x14ac:dyDescent="0.4">
      <c r="C97" t="str">
        <f t="shared" si="12"/>
        <v/>
      </c>
    </row>
    <row r="98" spans="1:3" x14ac:dyDescent="0.4">
      <c r="A98">
        <f t="shared" ref="A98" si="19">A92+1</f>
        <v>17</v>
      </c>
      <c r="B98" t="s">
        <v>19</v>
      </c>
      <c r="C98" t="str">
        <f t="shared" si="12"/>
        <v xml:space="preserve">        Play_Button17_Press = TimerIdOffsets.Button + 170 + TimerIdOffsets.Press,</v>
      </c>
    </row>
    <row r="99" spans="1:3" x14ac:dyDescent="0.4">
      <c r="A99">
        <f t="shared" si="15"/>
        <v>17</v>
      </c>
      <c r="B99" t="s">
        <v>20</v>
      </c>
      <c r="C99" t="str">
        <f t="shared" si="12"/>
        <v xml:space="preserve">        Play_Button17_Release = TimerIdOffsets.Button + 170 + TimerIdOffsets.Release,</v>
      </c>
    </row>
    <row r="100" spans="1:3" x14ac:dyDescent="0.4">
      <c r="A100">
        <f t="shared" si="15"/>
        <v>17</v>
      </c>
      <c r="B100" t="s">
        <v>21</v>
      </c>
      <c r="C100" t="str">
        <f t="shared" si="12"/>
        <v xml:space="preserve">        Play_Button17_Bomb = TimerIdOffsets.Button + 170 + TimerIdOffsets.Bomb,</v>
      </c>
    </row>
    <row r="101" spans="1:3" x14ac:dyDescent="0.4">
      <c r="A101">
        <f t="shared" si="15"/>
        <v>17</v>
      </c>
      <c r="B101" t="s">
        <v>22</v>
      </c>
      <c r="C101" t="str">
        <f t="shared" si="12"/>
        <v xml:space="preserve">        Play_Button17_LongBomb = TimerIdOffsets.Button + 170 + TimerIdOffsets.LongBomb,</v>
      </c>
    </row>
    <row r="102" spans="1:3" x14ac:dyDescent="0.4">
      <c r="A102">
        <f t="shared" si="15"/>
        <v>17</v>
      </c>
      <c r="B102" t="s">
        <v>23</v>
      </c>
      <c r="C102" t="str">
        <f t="shared" si="12"/>
        <v xml:space="preserve">        Play_Button17_Mine = TimerIdOffsets.Button + 170 + TimerIdOffsets.Mine,</v>
      </c>
    </row>
    <row r="103" spans="1:3" x14ac:dyDescent="0.4">
      <c r="C103" t="str">
        <f t="shared" si="12"/>
        <v/>
      </c>
    </row>
    <row r="104" spans="1:3" x14ac:dyDescent="0.4">
      <c r="A104">
        <f t="shared" ref="A104" si="20">A98+1</f>
        <v>18</v>
      </c>
      <c r="B104" t="s">
        <v>19</v>
      </c>
      <c r="C104" t="str">
        <f t="shared" si="12"/>
        <v xml:space="preserve">        Play_Button18_Press = TimerIdOffsets.Button + 180 + TimerIdOffsets.Press,</v>
      </c>
    </row>
    <row r="105" spans="1:3" x14ac:dyDescent="0.4">
      <c r="A105">
        <f t="shared" si="15"/>
        <v>18</v>
      </c>
      <c r="B105" t="s">
        <v>20</v>
      </c>
      <c r="C105" t="str">
        <f t="shared" si="12"/>
        <v xml:space="preserve">        Play_Button18_Release = TimerIdOffsets.Button + 180 + TimerIdOffsets.Release,</v>
      </c>
    </row>
    <row r="106" spans="1:3" x14ac:dyDescent="0.4">
      <c r="A106">
        <f t="shared" si="15"/>
        <v>18</v>
      </c>
      <c r="B106" t="s">
        <v>21</v>
      </c>
      <c r="C106" t="str">
        <f t="shared" si="12"/>
        <v xml:space="preserve">        Play_Button18_Bomb = TimerIdOffsets.Button + 180 + TimerIdOffsets.Bomb,</v>
      </c>
    </row>
    <row r="107" spans="1:3" x14ac:dyDescent="0.4">
      <c r="A107">
        <f t="shared" si="15"/>
        <v>18</v>
      </c>
      <c r="B107" t="s">
        <v>22</v>
      </c>
      <c r="C107" t="str">
        <f t="shared" si="12"/>
        <v xml:space="preserve">        Play_Button18_LongBomb = TimerIdOffsets.Button + 180 + TimerIdOffsets.LongBomb,</v>
      </c>
    </row>
    <row r="108" spans="1:3" x14ac:dyDescent="0.4">
      <c r="A108">
        <f t="shared" si="15"/>
        <v>18</v>
      </c>
      <c r="B108" t="s">
        <v>23</v>
      </c>
      <c r="C108" t="str">
        <f t="shared" si="12"/>
        <v xml:space="preserve">        Play_Button18_Mine = TimerIdOffsets.Button + 180 + TimerIdOffsets.Mine,</v>
      </c>
    </row>
    <row r="109" spans="1:3" x14ac:dyDescent="0.4">
      <c r="C109" t="str">
        <f t="shared" si="12"/>
        <v/>
      </c>
    </row>
    <row r="110" spans="1:3" x14ac:dyDescent="0.4">
      <c r="A110">
        <f t="shared" ref="A110" si="21">A104+1</f>
        <v>19</v>
      </c>
      <c r="B110" t="s">
        <v>19</v>
      </c>
      <c r="C110" t="str">
        <f t="shared" si="12"/>
        <v xml:space="preserve">        Play_Button19_Press = TimerIdOffsets.Button + 190 + TimerIdOffsets.Press,</v>
      </c>
    </row>
    <row r="111" spans="1:3" x14ac:dyDescent="0.4">
      <c r="A111">
        <f t="shared" si="15"/>
        <v>19</v>
      </c>
      <c r="B111" t="s">
        <v>20</v>
      </c>
      <c r="C111" t="str">
        <f t="shared" si="12"/>
        <v xml:space="preserve">        Play_Button19_Release = TimerIdOffsets.Button + 190 + TimerIdOffsets.Release,</v>
      </c>
    </row>
    <row r="112" spans="1:3" x14ac:dyDescent="0.4">
      <c r="A112">
        <f t="shared" si="15"/>
        <v>19</v>
      </c>
      <c r="B112" t="s">
        <v>21</v>
      </c>
      <c r="C112" t="str">
        <f t="shared" si="12"/>
        <v xml:space="preserve">        Play_Button19_Bomb = TimerIdOffsets.Button + 190 + TimerIdOffsets.Bomb,</v>
      </c>
    </row>
    <row r="113" spans="1:3" x14ac:dyDescent="0.4">
      <c r="A113">
        <f t="shared" si="15"/>
        <v>19</v>
      </c>
      <c r="B113" t="s">
        <v>22</v>
      </c>
      <c r="C113" t="str">
        <f t="shared" si="12"/>
        <v xml:space="preserve">        Play_Button19_LongBomb = TimerIdOffsets.Button + 190 + TimerIdOffsets.LongBomb,</v>
      </c>
    </row>
    <row r="114" spans="1:3" x14ac:dyDescent="0.4">
      <c r="A114">
        <f t="shared" si="15"/>
        <v>19</v>
      </c>
      <c r="B114" t="s">
        <v>23</v>
      </c>
      <c r="C114" t="str">
        <f t="shared" si="12"/>
        <v xml:space="preserve">        Play_Button19_Mine = TimerIdOffsets.Button + 190 + TimerIdOffsets.Mine,</v>
      </c>
    </row>
    <row r="115" spans="1:3" x14ac:dyDescent="0.4">
      <c r="C115" t="str">
        <f t="shared" si="12"/>
        <v/>
      </c>
    </row>
    <row r="116" spans="1:3" x14ac:dyDescent="0.4">
      <c r="A116">
        <f t="shared" ref="A116" si="22">A110+1</f>
        <v>20</v>
      </c>
      <c r="B116" t="s">
        <v>19</v>
      </c>
      <c r="C116" t="str">
        <f t="shared" si="12"/>
        <v xml:space="preserve">        Play_Button20_Press = TimerIdOffsets.Button + 200 + TimerIdOffsets.Press,</v>
      </c>
    </row>
    <row r="117" spans="1:3" x14ac:dyDescent="0.4">
      <c r="A117">
        <f t="shared" si="15"/>
        <v>20</v>
      </c>
      <c r="B117" t="s">
        <v>20</v>
      </c>
      <c r="C117" t="str">
        <f t="shared" si="12"/>
        <v xml:space="preserve">        Play_Button20_Release = TimerIdOffsets.Button + 200 + TimerIdOffsets.Release,</v>
      </c>
    </row>
    <row r="118" spans="1:3" x14ac:dyDescent="0.4">
      <c r="A118">
        <f t="shared" si="15"/>
        <v>20</v>
      </c>
      <c r="B118" t="s">
        <v>21</v>
      </c>
      <c r="C118" t="str">
        <f t="shared" si="12"/>
        <v xml:space="preserve">        Play_Button20_Bomb = TimerIdOffsets.Button + 200 + TimerIdOffsets.Bomb,</v>
      </c>
    </row>
    <row r="119" spans="1:3" x14ac:dyDescent="0.4">
      <c r="A119">
        <f t="shared" si="15"/>
        <v>20</v>
      </c>
      <c r="B119" t="s">
        <v>22</v>
      </c>
      <c r="C119" t="str">
        <f t="shared" si="12"/>
        <v xml:space="preserve">        Play_Button20_LongBomb = TimerIdOffsets.Button + 200 + TimerIdOffsets.LongBomb,</v>
      </c>
    </row>
    <row r="120" spans="1:3" x14ac:dyDescent="0.4">
      <c r="A120">
        <f t="shared" si="15"/>
        <v>20</v>
      </c>
      <c r="B120" t="s">
        <v>23</v>
      </c>
      <c r="C120" t="str">
        <f t="shared" si="12"/>
        <v xml:space="preserve">        Play_Button20_Mine = TimerIdOffsets.Button + 200 + TimerIdOffsets.Mine,</v>
      </c>
    </row>
    <row r="121" spans="1:3" x14ac:dyDescent="0.4">
      <c r="C121" t="str">
        <f t="shared" si="12"/>
        <v/>
      </c>
    </row>
    <row r="122" spans="1:3" x14ac:dyDescent="0.4">
      <c r="A122">
        <f t="shared" ref="A122" si="23">A116+1</f>
        <v>21</v>
      </c>
      <c r="B122" t="s">
        <v>19</v>
      </c>
      <c r="C122" t="str">
        <f t="shared" si="12"/>
        <v xml:space="preserve">        Play_Button21_Press = TimerIdOffsets.Button + 210 + TimerIdOffsets.Press,</v>
      </c>
    </row>
    <row r="123" spans="1:3" x14ac:dyDescent="0.4">
      <c r="A123">
        <f t="shared" si="15"/>
        <v>21</v>
      </c>
      <c r="B123" t="s">
        <v>20</v>
      </c>
      <c r="C123" t="str">
        <f t="shared" si="12"/>
        <v xml:space="preserve">        Play_Button21_Release = TimerIdOffsets.Button + 210 + TimerIdOffsets.Release,</v>
      </c>
    </row>
    <row r="124" spans="1:3" x14ac:dyDescent="0.4">
      <c r="A124">
        <f t="shared" si="15"/>
        <v>21</v>
      </c>
      <c r="B124" t="s">
        <v>21</v>
      </c>
      <c r="C124" t="str">
        <f t="shared" si="12"/>
        <v xml:space="preserve">        Play_Button21_Bomb = TimerIdOffsets.Button + 210 + TimerIdOffsets.Bomb,</v>
      </c>
    </row>
    <row r="125" spans="1:3" x14ac:dyDescent="0.4">
      <c r="A125">
        <f t="shared" si="15"/>
        <v>21</v>
      </c>
      <c r="B125" t="s">
        <v>22</v>
      </c>
      <c r="C125" t="str">
        <f t="shared" si="12"/>
        <v xml:space="preserve">        Play_Button21_LongBomb = TimerIdOffsets.Button + 210 + TimerIdOffsets.LongBomb,</v>
      </c>
    </row>
    <row r="126" spans="1:3" x14ac:dyDescent="0.4">
      <c r="A126">
        <f t="shared" si="15"/>
        <v>21</v>
      </c>
      <c r="B126" t="s">
        <v>23</v>
      </c>
      <c r="C126" t="str">
        <f t="shared" si="12"/>
        <v xml:space="preserve">        Play_Button21_Mine = TimerIdOffsets.Button + 210 + TimerIdOffsets.Mine,</v>
      </c>
    </row>
    <row r="127" spans="1:3" x14ac:dyDescent="0.4">
      <c r="C127" t="str">
        <f t="shared" si="12"/>
        <v/>
      </c>
    </row>
    <row r="128" spans="1:3" x14ac:dyDescent="0.4">
      <c r="A128">
        <f t="shared" ref="A128" si="24">A122+1</f>
        <v>22</v>
      </c>
      <c r="B128" t="s">
        <v>19</v>
      </c>
      <c r="C128" t="str">
        <f t="shared" si="12"/>
        <v xml:space="preserve">        Play_Button22_Press = TimerIdOffsets.Button + 220 + TimerIdOffsets.Press,</v>
      </c>
    </row>
    <row r="129" spans="1:3" x14ac:dyDescent="0.4">
      <c r="A129">
        <f t="shared" si="15"/>
        <v>22</v>
      </c>
      <c r="B129" t="s">
        <v>20</v>
      </c>
      <c r="C129" t="str">
        <f t="shared" si="12"/>
        <v xml:space="preserve">        Play_Button22_Release = TimerIdOffsets.Button + 220 + TimerIdOffsets.Release,</v>
      </c>
    </row>
    <row r="130" spans="1:3" x14ac:dyDescent="0.4">
      <c r="A130">
        <f t="shared" si="15"/>
        <v>22</v>
      </c>
      <c r="B130" t="s">
        <v>21</v>
      </c>
      <c r="C130" t="str">
        <f t="shared" si="12"/>
        <v xml:space="preserve">        Play_Button22_Bomb = TimerIdOffsets.Button + 220 + TimerIdOffsets.Bomb,</v>
      </c>
    </row>
    <row r="131" spans="1:3" x14ac:dyDescent="0.4">
      <c r="A131">
        <f t="shared" si="15"/>
        <v>22</v>
      </c>
      <c r="B131" t="s">
        <v>22</v>
      </c>
      <c r="C131" t="str">
        <f t="shared" ref="C131:C194" si="25">IF(A131="","","        Play_Button"&amp;A131&amp;"_"&amp;B131&amp;" = TimerIdOffsets.Button + "&amp;A131&amp;"0 + TimerIdOffsets."&amp;B131&amp;",")</f>
        <v xml:space="preserve">        Play_Button22_LongBomb = TimerIdOffsets.Button + 220 + TimerIdOffsets.LongBomb,</v>
      </c>
    </row>
    <row r="132" spans="1:3" x14ac:dyDescent="0.4">
      <c r="A132">
        <f t="shared" si="15"/>
        <v>22</v>
      </c>
      <c r="B132" t="s">
        <v>23</v>
      </c>
      <c r="C132" t="str">
        <f t="shared" si="25"/>
        <v xml:space="preserve">        Play_Button22_Mine = TimerIdOffsets.Button + 220 + TimerIdOffsets.Mine,</v>
      </c>
    </row>
    <row r="133" spans="1:3" x14ac:dyDescent="0.4">
      <c r="C133" t="str">
        <f t="shared" si="25"/>
        <v/>
      </c>
    </row>
    <row r="134" spans="1:3" x14ac:dyDescent="0.4">
      <c r="A134">
        <f t="shared" ref="A134" si="26">A128+1</f>
        <v>23</v>
      </c>
      <c r="B134" t="s">
        <v>19</v>
      </c>
      <c r="C134" t="str">
        <f t="shared" si="25"/>
        <v xml:space="preserve">        Play_Button23_Press = TimerIdOffsets.Button + 230 + TimerIdOffsets.Press,</v>
      </c>
    </row>
    <row r="135" spans="1:3" x14ac:dyDescent="0.4">
      <c r="A135">
        <f t="shared" si="15"/>
        <v>23</v>
      </c>
      <c r="B135" t="s">
        <v>20</v>
      </c>
      <c r="C135" t="str">
        <f t="shared" si="25"/>
        <v xml:space="preserve">        Play_Button23_Release = TimerIdOffsets.Button + 230 + TimerIdOffsets.Release,</v>
      </c>
    </row>
    <row r="136" spans="1:3" x14ac:dyDescent="0.4">
      <c r="A136">
        <f t="shared" si="15"/>
        <v>23</v>
      </c>
      <c r="B136" t="s">
        <v>21</v>
      </c>
      <c r="C136" t="str">
        <f t="shared" si="25"/>
        <v xml:space="preserve">        Play_Button23_Bomb = TimerIdOffsets.Button + 230 + TimerIdOffsets.Bomb,</v>
      </c>
    </row>
    <row r="137" spans="1:3" x14ac:dyDescent="0.4">
      <c r="A137">
        <f t="shared" si="15"/>
        <v>23</v>
      </c>
      <c r="B137" t="s">
        <v>22</v>
      </c>
      <c r="C137" t="str">
        <f t="shared" si="25"/>
        <v xml:space="preserve">        Play_Button23_LongBomb = TimerIdOffsets.Button + 230 + TimerIdOffsets.LongBomb,</v>
      </c>
    </row>
    <row r="138" spans="1:3" x14ac:dyDescent="0.4">
      <c r="A138">
        <f t="shared" si="15"/>
        <v>23</v>
      </c>
      <c r="B138" t="s">
        <v>23</v>
      </c>
      <c r="C138" t="str">
        <f t="shared" si="25"/>
        <v xml:space="preserve">        Play_Button23_Mine = TimerIdOffsets.Button + 230 + TimerIdOffsets.Mine,</v>
      </c>
    </row>
    <row r="139" spans="1:3" x14ac:dyDescent="0.4">
      <c r="C139" t="str">
        <f t="shared" si="25"/>
        <v/>
      </c>
    </row>
    <row r="140" spans="1:3" x14ac:dyDescent="0.4">
      <c r="A140">
        <f t="shared" ref="A140" si="27">A134+1</f>
        <v>24</v>
      </c>
      <c r="B140" t="s">
        <v>19</v>
      </c>
      <c r="C140" t="str">
        <f t="shared" si="25"/>
        <v xml:space="preserve">        Play_Button24_Press = TimerIdOffsets.Button + 240 + TimerIdOffsets.Press,</v>
      </c>
    </row>
    <row r="141" spans="1:3" x14ac:dyDescent="0.4">
      <c r="A141">
        <f t="shared" si="15"/>
        <v>24</v>
      </c>
      <c r="B141" t="s">
        <v>20</v>
      </c>
      <c r="C141" t="str">
        <f t="shared" si="25"/>
        <v xml:space="preserve">        Play_Button24_Release = TimerIdOffsets.Button + 240 + TimerIdOffsets.Release,</v>
      </c>
    </row>
    <row r="142" spans="1:3" x14ac:dyDescent="0.4">
      <c r="A142">
        <f t="shared" ref="A142:A204" si="28">A136+1</f>
        <v>24</v>
      </c>
      <c r="B142" t="s">
        <v>21</v>
      </c>
      <c r="C142" t="str">
        <f t="shared" si="25"/>
        <v xml:space="preserve">        Play_Button24_Bomb = TimerIdOffsets.Button + 240 + TimerIdOffsets.Bomb,</v>
      </c>
    </row>
    <row r="143" spans="1:3" x14ac:dyDescent="0.4">
      <c r="A143">
        <f t="shared" si="28"/>
        <v>24</v>
      </c>
      <c r="B143" t="s">
        <v>22</v>
      </c>
      <c r="C143" t="str">
        <f t="shared" si="25"/>
        <v xml:space="preserve">        Play_Button24_LongBomb = TimerIdOffsets.Button + 240 + TimerIdOffsets.LongBomb,</v>
      </c>
    </row>
    <row r="144" spans="1:3" x14ac:dyDescent="0.4">
      <c r="A144">
        <f t="shared" si="28"/>
        <v>24</v>
      </c>
      <c r="B144" t="s">
        <v>23</v>
      </c>
      <c r="C144" t="str">
        <f t="shared" si="25"/>
        <v xml:space="preserve">        Play_Button24_Mine = TimerIdOffsets.Button + 240 + TimerIdOffsets.Mine,</v>
      </c>
    </row>
    <row r="145" spans="1:3" x14ac:dyDescent="0.4">
      <c r="C145" t="str">
        <f t="shared" si="25"/>
        <v/>
      </c>
    </row>
    <row r="146" spans="1:3" x14ac:dyDescent="0.4">
      <c r="A146">
        <f t="shared" ref="A146" si="29">A140+1</f>
        <v>25</v>
      </c>
      <c r="B146" t="s">
        <v>19</v>
      </c>
      <c r="C146" t="str">
        <f t="shared" si="25"/>
        <v xml:space="preserve">        Play_Button25_Press = TimerIdOffsets.Button + 250 + TimerIdOffsets.Press,</v>
      </c>
    </row>
    <row r="147" spans="1:3" x14ac:dyDescent="0.4">
      <c r="A147">
        <f t="shared" si="28"/>
        <v>25</v>
      </c>
      <c r="B147" t="s">
        <v>20</v>
      </c>
      <c r="C147" t="str">
        <f t="shared" si="25"/>
        <v xml:space="preserve">        Play_Button25_Release = TimerIdOffsets.Button + 250 + TimerIdOffsets.Release,</v>
      </c>
    </row>
    <row r="148" spans="1:3" x14ac:dyDescent="0.4">
      <c r="A148">
        <f t="shared" si="28"/>
        <v>25</v>
      </c>
      <c r="B148" t="s">
        <v>21</v>
      </c>
      <c r="C148" t="str">
        <f t="shared" si="25"/>
        <v xml:space="preserve">        Play_Button25_Bomb = TimerIdOffsets.Button + 250 + TimerIdOffsets.Bomb,</v>
      </c>
    </row>
    <row r="149" spans="1:3" x14ac:dyDescent="0.4">
      <c r="A149">
        <f t="shared" si="28"/>
        <v>25</v>
      </c>
      <c r="B149" t="s">
        <v>22</v>
      </c>
      <c r="C149" t="str">
        <f t="shared" si="25"/>
        <v xml:space="preserve">        Play_Button25_LongBomb = TimerIdOffsets.Button + 250 + TimerIdOffsets.LongBomb,</v>
      </c>
    </row>
    <row r="150" spans="1:3" x14ac:dyDescent="0.4">
      <c r="A150">
        <f t="shared" si="28"/>
        <v>25</v>
      </c>
      <c r="B150" t="s">
        <v>23</v>
      </c>
      <c r="C150" t="str">
        <f t="shared" si="25"/>
        <v xml:space="preserve">        Play_Button25_Mine = TimerIdOffsets.Button + 250 + TimerIdOffsets.Mine,</v>
      </c>
    </row>
    <row r="151" spans="1:3" x14ac:dyDescent="0.4">
      <c r="C151" t="str">
        <f t="shared" si="25"/>
        <v/>
      </c>
    </row>
    <row r="152" spans="1:3" x14ac:dyDescent="0.4">
      <c r="A152">
        <f t="shared" ref="A152" si="30">A146+1</f>
        <v>26</v>
      </c>
      <c r="B152" t="s">
        <v>19</v>
      </c>
      <c r="C152" t="str">
        <f t="shared" si="25"/>
        <v xml:space="preserve">        Play_Button26_Press = TimerIdOffsets.Button + 260 + TimerIdOffsets.Press,</v>
      </c>
    </row>
    <row r="153" spans="1:3" x14ac:dyDescent="0.4">
      <c r="A153">
        <f t="shared" si="28"/>
        <v>26</v>
      </c>
      <c r="B153" t="s">
        <v>20</v>
      </c>
      <c r="C153" t="str">
        <f t="shared" si="25"/>
        <v xml:space="preserve">        Play_Button26_Release = TimerIdOffsets.Button + 260 + TimerIdOffsets.Release,</v>
      </c>
    </row>
    <row r="154" spans="1:3" x14ac:dyDescent="0.4">
      <c r="A154">
        <f t="shared" si="28"/>
        <v>26</v>
      </c>
      <c r="B154" t="s">
        <v>21</v>
      </c>
      <c r="C154" t="str">
        <f t="shared" si="25"/>
        <v xml:space="preserve">        Play_Button26_Bomb = TimerIdOffsets.Button + 260 + TimerIdOffsets.Bomb,</v>
      </c>
    </row>
    <row r="155" spans="1:3" x14ac:dyDescent="0.4">
      <c r="A155">
        <f t="shared" si="28"/>
        <v>26</v>
      </c>
      <c r="B155" t="s">
        <v>22</v>
      </c>
      <c r="C155" t="str">
        <f t="shared" si="25"/>
        <v xml:space="preserve">        Play_Button26_LongBomb = TimerIdOffsets.Button + 260 + TimerIdOffsets.LongBomb,</v>
      </c>
    </row>
    <row r="156" spans="1:3" x14ac:dyDescent="0.4">
      <c r="A156">
        <f t="shared" si="28"/>
        <v>26</v>
      </c>
      <c r="B156" t="s">
        <v>23</v>
      </c>
      <c r="C156" t="str">
        <f t="shared" si="25"/>
        <v xml:space="preserve">        Play_Button26_Mine = TimerIdOffsets.Button + 260 + TimerIdOffsets.Mine,</v>
      </c>
    </row>
    <row r="157" spans="1:3" x14ac:dyDescent="0.4">
      <c r="C157" t="str">
        <f t="shared" si="25"/>
        <v/>
      </c>
    </row>
    <row r="158" spans="1:3" x14ac:dyDescent="0.4">
      <c r="A158">
        <f t="shared" ref="A158" si="31">A152+1</f>
        <v>27</v>
      </c>
      <c r="B158" t="s">
        <v>19</v>
      </c>
      <c r="C158" t="str">
        <f t="shared" si="25"/>
        <v xml:space="preserve">        Play_Button27_Press = TimerIdOffsets.Button + 270 + TimerIdOffsets.Press,</v>
      </c>
    </row>
    <row r="159" spans="1:3" x14ac:dyDescent="0.4">
      <c r="A159">
        <f t="shared" si="28"/>
        <v>27</v>
      </c>
      <c r="B159" t="s">
        <v>20</v>
      </c>
      <c r="C159" t="str">
        <f t="shared" si="25"/>
        <v xml:space="preserve">        Play_Button27_Release = TimerIdOffsets.Button + 270 + TimerIdOffsets.Release,</v>
      </c>
    </row>
    <row r="160" spans="1:3" x14ac:dyDescent="0.4">
      <c r="A160">
        <f t="shared" si="28"/>
        <v>27</v>
      </c>
      <c r="B160" t="s">
        <v>21</v>
      </c>
      <c r="C160" t="str">
        <f t="shared" si="25"/>
        <v xml:space="preserve">        Play_Button27_Bomb = TimerIdOffsets.Button + 270 + TimerIdOffsets.Bomb,</v>
      </c>
    </row>
    <row r="161" spans="1:3" x14ac:dyDescent="0.4">
      <c r="A161">
        <f t="shared" si="28"/>
        <v>27</v>
      </c>
      <c r="B161" t="s">
        <v>22</v>
      </c>
      <c r="C161" t="str">
        <f t="shared" si="25"/>
        <v xml:space="preserve">        Play_Button27_LongBomb = TimerIdOffsets.Button + 270 + TimerIdOffsets.LongBomb,</v>
      </c>
    </row>
    <row r="162" spans="1:3" x14ac:dyDescent="0.4">
      <c r="A162">
        <f t="shared" si="28"/>
        <v>27</v>
      </c>
      <c r="B162" t="s">
        <v>23</v>
      </c>
      <c r="C162" t="str">
        <f t="shared" si="25"/>
        <v xml:space="preserve">        Play_Button27_Mine = TimerIdOffsets.Button + 270 + TimerIdOffsets.Mine,</v>
      </c>
    </row>
    <row r="163" spans="1:3" x14ac:dyDescent="0.4">
      <c r="C163" t="str">
        <f t="shared" si="25"/>
        <v/>
      </c>
    </row>
    <row r="164" spans="1:3" x14ac:dyDescent="0.4">
      <c r="A164">
        <f t="shared" ref="A164" si="32">A158+1</f>
        <v>28</v>
      </c>
      <c r="B164" t="s">
        <v>19</v>
      </c>
      <c r="C164" t="str">
        <f t="shared" si="25"/>
        <v xml:space="preserve">        Play_Button28_Press = TimerIdOffsets.Button + 280 + TimerIdOffsets.Press,</v>
      </c>
    </row>
    <row r="165" spans="1:3" x14ac:dyDescent="0.4">
      <c r="A165">
        <f t="shared" si="28"/>
        <v>28</v>
      </c>
      <c r="B165" t="s">
        <v>20</v>
      </c>
      <c r="C165" t="str">
        <f t="shared" si="25"/>
        <v xml:space="preserve">        Play_Button28_Release = TimerIdOffsets.Button + 280 + TimerIdOffsets.Release,</v>
      </c>
    </row>
    <row r="166" spans="1:3" x14ac:dyDescent="0.4">
      <c r="A166">
        <f t="shared" si="28"/>
        <v>28</v>
      </c>
      <c r="B166" t="s">
        <v>21</v>
      </c>
      <c r="C166" t="str">
        <f t="shared" si="25"/>
        <v xml:space="preserve">        Play_Button28_Bomb = TimerIdOffsets.Button + 280 + TimerIdOffsets.Bomb,</v>
      </c>
    </row>
    <row r="167" spans="1:3" x14ac:dyDescent="0.4">
      <c r="A167">
        <f t="shared" si="28"/>
        <v>28</v>
      </c>
      <c r="B167" t="s">
        <v>22</v>
      </c>
      <c r="C167" t="str">
        <f t="shared" si="25"/>
        <v xml:space="preserve">        Play_Button28_LongBomb = TimerIdOffsets.Button + 280 + TimerIdOffsets.LongBomb,</v>
      </c>
    </row>
    <row r="168" spans="1:3" x14ac:dyDescent="0.4">
      <c r="A168">
        <f t="shared" si="28"/>
        <v>28</v>
      </c>
      <c r="B168" t="s">
        <v>23</v>
      </c>
      <c r="C168" t="str">
        <f t="shared" si="25"/>
        <v xml:space="preserve">        Play_Button28_Mine = TimerIdOffsets.Button + 280 + TimerIdOffsets.Mine,</v>
      </c>
    </row>
    <row r="169" spans="1:3" x14ac:dyDescent="0.4">
      <c r="C169" t="str">
        <f t="shared" si="25"/>
        <v/>
      </c>
    </row>
    <row r="170" spans="1:3" x14ac:dyDescent="0.4">
      <c r="A170">
        <f t="shared" ref="A170" si="33">A164+1</f>
        <v>29</v>
      </c>
      <c r="B170" t="s">
        <v>19</v>
      </c>
      <c r="C170" t="str">
        <f t="shared" si="25"/>
        <v xml:space="preserve">        Play_Button29_Press = TimerIdOffsets.Button + 290 + TimerIdOffsets.Press,</v>
      </c>
    </row>
    <row r="171" spans="1:3" x14ac:dyDescent="0.4">
      <c r="A171">
        <f t="shared" si="28"/>
        <v>29</v>
      </c>
      <c r="B171" t="s">
        <v>20</v>
      </c>
      <c r="C171" t="str">
        <f t="shared" si="25"/>
        <v xml:space="preserve">        Play_Button29_Release = TimerIdOffsets.Button + 290 + TimerIdOffsets.Release,</v>
      </c>
    </row>
    <row r="172" spans="1:3" x14ac:dyDescent="0.4">
      <c r="A172">
        <f t="shared" si="28"/>
        <v>29</v>
      </c>
      <c r="B172" t="s">
        <v>21</v>
      </c>
      <c r="C172" t="str">
        <f t="shared" si="25"/>
        <v xml:space="preserve">        Play_Button29_Bomb = TimerIdOffsets.Button + 290 + TimerIdOffsets.Bomb,</v>
      </c>
    </row>
    <row r="173" spans="1:3" x14ac:dyDescent="0.4">
      <c r="A173">
        <f t="shared" si="28"/>
        <v>29</v>
      </c>
      <c r="B173" t="s">
        <v>22</v>
      </c>
      <c r="C173" t="str">
        <f t="shared" si="25"/>
        <v xml:space="preserve">        Play_Button29_LongBomb = TimerIdOffsets.Button + 290 + TimerIdOffsets.LongBomb,</v>
      </c>
    </row>
    <row r="174" spans="1:3" x14ac:dyDescent="0.4">
      <c r="A174">
        <f t="shared" si="28"/>
        <v>29</v>
      </c>
      <c r="B174" t="s">
        <v>23</v>
      </c>
      <c r="C174" t="str">
        <f t="shared" si="25"/>
        <v xml:space="preserve">        Play_Button29_Mine = TimerIdOffsets.Button + 290 + TimerIdOffsets.Mine,</v>
      </c>
    </row>
    <row r="175" spans="1:3" x14ac:dyDescent="0.4">
      <c r="C175" t="str">
        <f t="shared" si="25"/>
        <v/>
      </c>
    </row>
    <row r="176" spans="1:3" x14ac:dyDescent="0.4">
      <c r="A176">
        <f t="shared" ref="A176" si="34">A170+1</f>
        <v>30</v>
      </c>
      <c r="B176" t="s">
        <v>19</v>
      </c>
      <c r="C176" t="str">
        <f t="shared" si="25"/>
        <v xml:space="preserve">        Play_Button30_Press = TimerIdOffsets.Button + 300 + TimerIdOffsets.Press,</v>
      </c>
    </row>
    <row r="177" spans="1:3" x14ac:dyDescent="0.4">
      <c r="A177">
        <f t="shared" si="28"/>
        <v>30</v>
      </c>
      <c r="B177" t="s">
        <v>20</v>
      </c>
      <c r="C177" t="str">
        <f t="shared" si="25"/>
        <v xml:space="preserve">        Play_Button30_Release = TimerIdOffsets.Button + 300 + TimerIdOffsets.Release,</v>
      </c>
    </row>
    <row r="178" spans="1:3" x14ac:dyDescent="0.4">
      <c r="A178">
        <f t="shared" si="28"/>
        <v>30</v>
      </c>
      <c r="B178" t="s">
        <v>21</v>
      </c>
      <c r="C178" t="str">
        <f t="shared" si="25"/>
        <v xml:space="preserve">        Play_Button30_Bomb = TimerIdOffsets.Button + 300 + TimerIdOffsets.Bomb,</v>
      </c>
    </row>
    <row r="179" spans="1:3" x14ac:dyDescent="0.4">
      <c r="A179">
        <f t="shared" si="28"/>
        <v>30</v>
      </c>
      <c r="B179" t="s">
        <v>22</v>
      </c>
      <c r="C179" t="str">
        <f t="shared" si="25"/>
        <v xml:space="preserve">        Play_Button30_LongBomb = TimerIdOffsets.Button + 300 + TimerIdOffsets.LongBomb,</v>
      </c>
    </row>
    <row r="180" spans="1:3" x14ac:dyDescent="0.4">
      <c r="A180">
        <f t="shared" si="28"/>
        <v>30</v>
      </c>
      <c r="B180" t="s">
        <v>23</v>
      </c>
      <c r="C180" t="str">
        <f t="shared" si="25"/>
        <v xml:space="preserve">        Play_Button30_Mine = TimerIdOffsets.Button + 300 + TimerIdOffsets.Mine,</v>
      </c>
    </row>
    <row r="181" spans="1:3" x14ac:dyDescent="0.4">
      <c r="C181" t="str">
        <f t="shared" si="25"/>
        <v/>
      </c>
    </row>
    <row r="182" spans="1:3" x14ac:dyDescent="0.4">
      <c r="A182">
        <f t="shared" ref="A182" si="35">A176+1</f>
        <v>31</v>
      </c>
      <c r="B182" t="s">
        <v>19</v>
      </c>
      <c r="C182" t="str">
        <f t="shared" si="25"/>
        <v xml:space="preserve">        Play_Button31_Press = TimerIdOffsets.Button + 310 + TimerIdOffsets.Press,</v>
      </c>
    </row>
    <row r="183" spans="1:3" x14ac:dyDescent="0.4">
      <c r="A183">
        <f t="shared" si="28"/>
        <v>31</v>
      </c>
      <c r="B183" t="s">
        <v>20</v>
      </c>
      <c r="C183" t="str">
        <f t="shared" si="25"/>
        <v xml:space="preserve">        Play_Button31_Release = TimerIdOffsets.Button + 310 + TimerIdOffsets.Release,</v>
      </c>
    </row>
    <row r="184" spans="1:3" x14ac:dyDescent="0.4">
      <c r="A184">
        <f t="shared" si="28"/>
        <v>31</v>
      </c>
      <c r="B184" t="s">
        <v>21</v>
      </c>
      <c r="C184" t="str">
        <f t="shared" si="25"/>
        <v xml:space="preserve">        Play_Button31_Bomb = TimerIdOffsets.Button + 310 + TimerIdOffsets.Bomb,</v>
      </c>
    </row>
    <row r="185" spans="1:3" x14ac:dyDescent="0.4">
      <c r="A185">
        <f t="shared" si="28"/>
        <v>31</v>
      </c>
      <c r="B185" t="s">
        <v>22</v>
      </c>
      <c r="C185" t="str">
        <f t="shared" si="25"/>
        <v xml:space="preserve">        Play_Button31_LongBomb = TimerIdOffsets.Button + 310 + TimerIdOffsets.LongBomb,</v>
      </c>
    </row>
    <row r="186" spans="1:3" x14ac:dyDescent="0.4">
      <c r="A186">
        <f t="shared" si="28"/>
        <v>31</v>
      </c>
      <c r="B186" t="s">
        <v>23</v>
      </c>
      <c r="C186" t="str">
        <f t="shared" si="25"/>
        <v xml:space="preserve">        Play_Button31_Mine = TimerIdOffsets.Button + 310 + TimerIdOffsets.Mine,</v>
      </c>
    </row>
    <row r="187" spans="1:3" x14ac:dyDescent="0.4">
      <c r="C187" t="str">
        <f t="shared" si="25"/>
        <v/>
      </c>
    </row>
    <row r="188" spans="1:3" x14ac:dyDescent="0.4">
      <c r="A188">
        <f t="shared" ref="A188" si="36">A182+1</f>
        <v>32</v>
      </c>
      <c r="B188" t="s">
        <v>19</v>
      </c>
      <c r="C188" t="str">
        <f t="shared" si="25"/>
        <v xml:space="preserve">        Play_Button32_Press = TimerIdOffsets.Button + 320 + TimerIdOffsets.Press,</v>
      </c>
    </row>
    <row r="189" spans="1:3" x14ac:dyDescent="0.4">
      <c r="A189">
        <f t="shared" si="28"/>
        <v>32</v>
      </c>
      <c r="B189" t="s">
        <v>20</v>
      </c>
      <c r="C189" t="str">
        <f t="shared" si="25"/>
        <v xml:space="preserve">        Play_Button32_Release = TimerIdOffsets.Button + 320 + TimerIdOffsets.Release,</v>
      </c>
    </row>
    <row r="190" spans="1:3" x14ac:dyDescent="0.4">
      <c r="A190">
        <f t="shared" si="28"/>
        <v>32</v>
      </c>
      <c r="B190" t="s">
        <v>21</v>
      </c>
      <c r="C190" t="str">
        <f t="shared" si="25"/>
        <v xml:space="preserve">        Play_Button32_Bomb = TimerIdOffsets.Button + 320 + TimerIdOffsets.Bomb,</v>
      </c>
    </row>
    <row r="191" spans="1:3" x14ac:dyDescent="0.4">
      <c r="A191">
        <f t="shared" si="28"/>
        <v>32</v>
      </c>
      <c r="B191" t="s">
        <v>22</v>
      </c>
      <c r="C191" t="str">
        <f t="shared" si="25"/>
        <v xml:space="preserve">        Play_Button32_LongBomb = TimerIdOffsets.Button + 320 + TimerIdOffsets.LongBomb,</v>
      </c>
    </row>
    <row r="192" spans="1:3" x14ac:dyDescent="0.4">
      <c r="A192">
        <f t="shared" si="28"/>
        <v>32</v>
      </c>
      <c r="B192" t="s">
        <v>23</v>
      </c>
      <c r="C192" t="str">
        <f t="shared" si="25"/>
        <v xml:space="preserve">        Play_Button32_Mine = TimerIdOffsets.Button + 320 + TimerIdOffsets.Mine,</v>
      </c>
    </row>
    <row r="193" spans="1:3" x14ac:dyDescent="0.4">
      <c r="C193" t="str">
        <f t="shared" si="25"/>
        <v/>
      </c>
    </row>
    <row r="194" spans="1:3" x14ac:dyDescent="0.4">
      <c r="A194">
        <f t="shared" ref="A194" si="37">A188+1</f>
        <v>33</v>
      </c>
      <c r="B194" t="s">
        <v>19</v>
      </c>
      <c r="C194" t="str">
        <f t="shared" si="25"/>
        <v xml:space="preserve">        Play_Button33_Press = TimerIdOffsets.Button + 330 + TimerIdOffsets.Press,</v>
      </c>
    </row>
    <row r="195" spans="1:3" x14ac:dyDescent="0.4">
      <c r="A195">
        <f t="shared" si="28"/>
        <v>33</v>
      </c>
      <c r="B195" t="s">
        <v>20</v>
      </c>
      <c r="C195" t="str">
        <f t="shared" ref="C195:C258" si="38">IF(A195="","","        Play_Button"&amp;A195&amp;"_"&amp;B195&amp;" = TimerIdOffsets.Button + "&amp;A195&amp;"0 + TimerIdOffsets."&amp;B195&amp;",")</f>
        <v xml:space="preserve">        Play_Button33_Release = TimerIdOffsets.Button + 330 + TimerIdOffsets.Release,</v>
      </c>
    </row>
    <row r="196" spans="1:3" x14ac:dyDescent="0.4">
      <c r="A196">
        <f t="shared" si="28"/>
        <v>33</v>
      </c>
      <c r="B196" t="s">
        <v>21</v>
      </c>
      <c r="C196" t="str">
        <f t="shared" si="38"/>
        <v xml:space="preserve">        Play_Button33_Bomb = TimerIdOffsets.Button + 330 + TimerIdOffsets.Bomb,</v>
      </c>
    </row>
    <row r="197" spans="1:3" x14ac:dyDescent="0.4">
      <c r="A197">
        <f t="shared" si="28"/>
        <v>33</v>
      </c>
      <c r="B197" t="s">
        <v>22</v>
      </c>
      <c r="C197" t="str">
        <f t="shared" si="38"/>
        <v xml:space="preserve">        Play_Button33_LongBomb = TimerIdOffsets.Button + 330 + TimerIdOffsets.LongBomb,</v>
      </c>
    </row>
    <row r="198" spans="1:3" x14ac:dyDescent="0.4">
      <c r="A198">
        <f t="shared" si="28"/>
        <v>33</v>
      </c>
      <c r="B198" t="s">
        <v>23</v>
      </c>
      <c r="C198" t="str">
        <f t="shared" si="38"/>
        <v xml:space="preserve">        Play_Button33_Mine = TimerIdOffsets.Button + 330 + TimerIdOffsets.Mine,</v>
      </c>
    </row>
    <row r="199" spans="1:3" x14ac:dyDescent="0.4">
      <c r="C199" t="str">
        <f t="shared" si="38"/>
        <v/>
      </c>
    </row>
    <row r="200" spans="1:3" x14ac:dyDescent="0.4">
      <c r="A200">
        <f t="shared" ref="A200" si="39">A194+1</f>
        <v>34</v>
      </c>
      <c r="B200" t="s">
        <v>19</v>
      </c>
      <c r="C200" t="str">
        <f t="shared" si="38"/>
        <v xml:space="preserve">        Play_Button34_Press = TimerIdOffsets.Button + 340 + TimerIdOffsets.Press,</v>
      </c>
    </row>
    <row r="201" spans="1:3" x14ac:dyDescent="0.4">
      <c r="A201">
        <f t="shared" si="28"/>
        <v>34</v>
      </c>
      <c r="B201" t="s">
        <v>20</v>
      </c>
      <c r="C201" t="str">
        <f t="shared" si="38"/>
        <v xml:space="preserve">        Play_Button34_Release = TimerIdOffsets.Button + 340 + TimerIdOffsets.Release,</v>
      </c>
    </row>
    <row r="202" spans="1:3" x14ac:dyDescent="0.4">
      <c r="A202">
        <f t="shared" si="28"/>
        <v>34</v>
      </c>
      <c r="B202" t="s">
        <v>21</v>
      </c>
      <c r="C202" t="str">
        <f t="shared" si="38"/>
        <v xml:space="preserve">        Play_Button34_Bomb = TimerIdOffsets.Button + 340 + TimerIdOffsets.Bomb,</v>
      </c>
    </row>
    <row r="203" spans="1:3" x14ac:dyDescent="0.4">
      <c r="A203">
        <f t="shared" si="28"/>
        <v>34</v>
      </c>
      <c r="B203" t="s">
        <v>22</v>
      </c>
      <c r="C203" t="str">
        <f t="shared" si="38"/>
        <v xml:space="preserve">        Play_Button34_LongBomb = TimerIdOffsets.Button + 340 + TimerIdOffsets.LongBomb,</v>
      </c>
    </row>
    <row r="204" spans="1:3" x14ac:dyDescent="0.4">
      <c r="A204">
        <f t="shared" si="28"/>
        <v>34</v>
      </c>
      <c r="B204" t="s">
        <v>23</v>
      </c>
      <c r="C204" t="str">
        <f t="shared" si="38"/>
        <v xml:space="preserve">        Play_Button34_Mine = TimerIdOffsets.Button + 340 + TimerIdOffsets.Mine,</v>
      </c>
    </row>
    <row r="205" spans="1:3" x14ac:dyDescent="0.4">
      <c r="C205" t="str">
        <f t="shared" si="38"/>
        <v/>
      </c>
    </row>
    <row r="206" spans="1:3" x14ac:dyDescent="0.4">
      <c r="A206">
        <f t="shared" ref="A206:A269" si="40">A200+1</f>
        <v>35</v>
      </c>
      <c r="B206" t="s">
        <v>19</v>
      </c>
      <c r="C206" t="str">
        <f t="shared" si="38"/>
        <v xml:space="preserve">        Play_Button35_Press = TimerIdOffsets.Button + 350 + TimerIdOffsets.Press,</v>
      </c>
    </row>
    <row r="207" spans="1:3" x14ac:dyDescent="0.4">
      <c r="A207">
        <f t="shared" si="40"/>
        <v>35</v>
      </c>
      <c r="B207" t="s">
        <v>20</v>
      </c>
      <c r="C207" t="str">
        <f t="shared" si="38"/>
        <v xml:space="preserve">        Play_Button35_Release = TimerIdOffsets.Button + 350 + TimerIdOffsets.Release,</v>
      </c>
    </row>
    <row r="208" spans="1:3" x14ac:dyDescent="0.4">
      <c r="A208">
        <f t="shared" si="40"/>
        <v>35</v>
      </c>
      <c r="B208" t="s">
        <v>21</v>
      </c>
      <c r="C208" t="str">
        <f t="shared" si="38"/>
        <v xml:space="preserve">        Play_Button35_Bomb = TimerIdOffsets.Button + 350 + TimerIdOffsets.Bomb,</v>
      </c>
    </row>
    <row r="209" spans="1:3" x14ac:dyDescent="0.4">
      <c r="A209">
        <f t="shared" si="40"/>
        <v>35</v>
      </c>
      <c r="B209" t="s">
        <v>22</v>
      </c>
      <c r="C209" t="str">
        <f t="shared" si="38"/>
        <v xml:space="preserve">        Play_Button35_LongBomb = TimerIdOffsets.Button + 350 + TimerIdOffsets.LongBomb,</v>
      </c>
    </row>
    <row r="210" spans="1:3" x14ac:dyDescent="0.4">
      <c r="A210">
        <f t="shared" si="40"/>
        <v>35</v>
      </c>
      <c r="B210" t="s">
        <v>23</v>
      </c>
      <c r="C210" t="str">
        <f t="shared" si="38"/>
        <v xml:space="preserve">        Play_Button35_Mine = TimerIdOffsets.Button + 350 + TimerIdOffsets.Mine,</v>
      </c>
    </row>
    <row r="211" spans="1:3" x14ac:dyDescent="0.4">
      <c r="C211" t="str">
        <f t="shared" si="38"/>
        <v/>
      </c>
    </row>
    <row r="212" spans="1:3" x14ac:dyDescent="0.4">
      <c r="A212">
        <f t="shared" ref="A212" si="41">A206+1</f>
        <v>36</v>
      </c>
      <c r="B212" t="s">
        <v>19</v>
      </c>
      <c r="C212" t="str">
        <f t="shared" si="38"/>
        <v xml:space="preserve">        Play_Button36_Press = TimerIdOffsets.Button + 360 + TimerIdOffsets.Press,</v>
      </c>
    </row>
    <row r="213" spans="1:3" x14ac:dyDescent="0.4">
      <c r="A213">
        <f t="shared" si="40"/>
        <v>36</v>
      </c>
      <c r="B213" t="s">
        <v>20</v>
      </c>
      <c r="C213" t="str">
        <f t="shared" si="38"/>
        <v xml:space="preserve">        Play_Button36_Release = TimerIdOffsets.Button + 360 + TimerIdOffsets.Release,</v>
      </c>
    </row>
    <row r="214" spans="1:3" x14ac:dyDescent="0.4">
      <c r="A214">
        <f t="shared" si="40"/>
        <v>36</v>
      </c>
      <c r="B214" t="s">
        <v>21</v>
      </c>
      <c r="C214" t="str">
        <f t="shared" si="38"/>
        <v xml:space="preserve">        Play_Button36_Bomb = TimerIdOffsets.Button + 360 + TimerIdOffsets.Bomb,</v>
      </c>
    </row>
    <row r="215" spans="1:3" x14ac:dyDescent="0.4">
      <c r="A215">
        <f t="shared" si="40"/>
        <v>36</v>
      </c>
      <c r="B215" t="s">
        <v>22</v>
      </c>
      <c r="C215" t="str">
        <f t="shared" si="38"/>
        <v xml:space="preserve">        Play_Button36_LongBomb = TimerIdOffsets.Button + 360 + TimerIdOffsets.LongBomb,</v>
      </c>
    </row>
    <row r="216" spans="1:3" x14ac:dyDescent="0.4">
      <c r="A216">
        <f t="shared" si="40"/>
        <v>36</v>
      </c>
      <c r="B216" t="s">
        <v>23</v>
      </c>
      <c r="C216" t="str">
        <f t="shared" si="38"/>
        <v xml:space="preserve">        Play_Button36_Mine = TimerIdOffsets.Button + 360 + TimerIdOffsets.Mine,</v>
      </c>
    </row>
    <row r="217" spans="1:3" x14ac:dyDescent="0.4">
      <c r="C217" t="str">
        <f t="shared" si="38"/>
        <v/>
      </c>
    </row>
    <row r="218" spans="1:3" x14ac:dyDescent="0.4">
      <c r="A218">
        <f t="shared" ref="A218" si="42">A212+1</f>
        <v>37</v>
      </c>
      <c r="B218" t="s">
        <v>19</v>
      </c>
      <c r="C218" t="str">
        <f t="shared" si="38"/>
        <v xml:space="preserve">        Play_Button37_Press = TimerIdOffsets.Button + 370 + TimerIdOffsets.Press,</v>
      </c>
    </row>
    <row r="219" spans="1:3" x14ac:dyDescent="0.4">
      <c r="A219">
        <f t="shared" si="40"/>
        <v>37</v>
      </c>
      <c r="B219" t="s">
        <v>20</v>
      </c>
      <c r="C219" t="str">
        <f t="shared" si="38"/>
        <v xml:space="preserve">        Play_Button37_Release = TimerIdOffsets.Button + 370 + TimerIdOffsets.Release,</v>
      </c>
    </row>
    <row r="220" spans="1:3" x14ac:dyDescent="0.4">
      <c r="A220">
        <f t="shared" si="40"/>
        <v>37</v>
      </c>
      <c r="B220" t="s">
        <v>21</v>
      </c>
      <c r="C220" t="str">
        <f t="shared" si="38"/>
        <v xml:space="preserve">        Play_Button37_Bomb = TimerIdOffsets.Button + 370 + TimerIdOffsets.Bomb,</v>
      </c>
    </row>
    <row r="221" spans="1:3" x14ac:dyDescent="0.4">
      <c r="A221">
        <f t="shared" si="40"/>
        <v>37</v>
      </c>
      <c r="B221" t="s">
        <v>22</v>
      </c>
      <c r="C221" t="str">
        <f t="shared" si="38"/>
        <v xml:space="preserve">        Play_Button37_LongBomb = TimerIdOffsets.Button + 370 + TimerIdOffsets.LongBomb,</v>
      </c>
    </row>
    <row r="222" spans="1:3" x14ac:dyDescent="0.4">
      <c r="A222">
        <f t="shared" si="40"/>
        <v>37</v>
      </c>
      <c r="B222" t="s">
        <v>23</v>
      </c>
      <c r="C222" t="str">
        <f t="shared" si="38"/>
        <v xml:space="preserve">        Play_Button37_Mine = TimerIdOffsets.Button + 370 + TimerIdOffsets.Mine,</v>
      </c>
    </row>
    <row r="223" spans="1:3" x14ac:dyDescent="0.4">
      <c r="C223" t="str">
        <f t="shared" si="38"/>
        <v/>
      </c>
    </row>
    <row r="224" spans="1:3" x14ac:dyDescent="0.4">
      <c r="A224">
        <f t="shared" ref="A224" si="43">A218+1</f>
        <v>38</v>
      </c>
      <c r="B224" t="s">
        <v>19</v>
      </c>
      <c r="C224" t="str">
        <f t="shared" si="38"/>
        <v xml:space="preserve">        Play_Button38_Press = TimerIdOffsets.Button + 380 + TimerIdOffsets.Press,</v>
      </c>
    </row>
    <row r="225" spans="1:3" x14ac:dyDescent="0.4">
      <c r="A225">
        <f t="shared" si="40"/>
        <v>38</v>
      </c>
      <c r="B225" t="s">
        <v>20</v>
      </c>
      <c r="C225" t="str">
        <f t="shared" si="38"/>
        <v xml:space="preserve">        Play_Button38_Release = TimerIdOffsets.Button + 380 + TimerIdOffsets.Release,</v>
      </c>
    </row>
    <row r="226" spans="1:3" x14ac:dyDescent="0.4">
      <c r="A226">
        <f t="shared" si="40"/>
        <v>38</v>
      </c>
      <c r="B226" t="s">
        <v>21</v>
      </c>
      <c r="C226" t="str">
        <f t="shared" si="38"/>
        <v xml:space="preserve">        Play_Button38_Bomb = TimerIdOffsets.Button + 380 + TimerIdOffsets.Bomb,</v>
      </c>
    </row>
    <row r="227" spans="1:3" x14ac:dyDescent="0.4">
      <c r="A227">
        <f t="shared" si="40"/>
        <v>38</v>
      </c>
      <c r="B227" t="s">
        <v>22</v>
      </c>
      <c r="C227" t="str">
        <f t="shared" si="38"/>
        <v xml:space="preserve">        Play_Button38_LongBomb = TimerIdOffsets.Button + 380 + TimerIdOffsets.LongBomb,</v>
      </c>
    </row>
    <row r="228" spans="1:3" x14ac:dyDescent="0.4">
      <c r="A228">
        <f t="shared" si="40"/>
        <v>38</v>
      </c>
      <c r="B228" t="s">
        <v>23</v>
      </c>
      <c r="C228" t="str">
        <f t="shared" si="38"/>
        <v xml:space="preserve">        Play_Button38_Mine = TimerIdOffsets.Button + 380 + TimerIdOffsets.Mine,</v>
      </c>
    </row>
    <row r="229" spans="1:3" x14ac:dyDescent="0.4">
      <c r="C229" t="str">
        <f t="shared" si="38"/>
        <v/>
      </c>
    </row>
    <row r="230" spans="1:3" x14ac:dyDescent="0.4">
      <c r="A230">
        <f t="shared" ref="A230" si="44">A224+1</f>
        <v>39</v>
      </c>
      <c r="B230" t="s">
        <v>19</v>
      </c>
      <c r="C230" t="str">
        <f t="shared" si="38"/>
        <v xml:space="preserve">        Play_Button39_Press = TimerIdOffsets.Button + 390 + TimerIdOffsets.Press,</v>
      </c>
    </row>
    <row r="231" spans="1:3" x14ac:dyDescent="0.4">
      <c r="A231">
        <f t="shared" si="40"/>
        <v>39</v>
      </c>
      <c r="B231" t="s">
        <v>20</v>
      </c>
      <c r="C231" t="str">
        <f t="shared" si="38"/>
        <v xml:space="preserve">        Play_Button39_Release = TimerIdOffsets.Button + 390 + TimerIdOffsets.Release,</v>
      </c>
    </row>
    <row r="232" spans="1:3" x14ac:dyDescent="0.4">
      <c r="A232">
        <f t="shared" si="40"/>
        <v>39</v>
      </c>
      <c r="B232" t="s">
        <v>21</v>
      </c>
      <c r="C232" t="str">
        <f t="shared" si="38"/>
        <v xml:space="preserve">        Play_Button39_Bomb = TimerIdOffsets.Button + 390 + TimerIdOffsets.Bomb,</v>
      </c>
    </row>
    <row r="233" spans="1:3" x14ac:dyDescent="0.4">
      <c r="A233">
        <f t="shared" si="40"/>
        <v>39</v>
      </c>
      <c r="B233" t="s">
        <v>22</v>
      </c>
      <c r="C233" t="str">
        <f t="shared" si="38"/>
        <v xml:space="preserve">        Play_Button39_LongBomb = TimerIdOffsets.Button + 390 + TimerIdOffsets.LongBomb,</v>
      </c>
    </row>
    <row r="234" spans="1:3" x14ac:dyDescent="0.4">
      <c r="A234">
        <f t="shared" si="40"/>
        <v>39</v>
      </c>
      <c r="B234" t="s">
        <v>23</v>
      </c>
      <c r="C234" t="str">
        <f t="shared" si="38"/>
        <v xml:space="preserve">        Play_Button39_Mine = TimerIdOffsets.Button + 390 + TimerIdOffsets.Mine,</v>
      </c>
    </row>
    <row r="235" spans="1:3" x14ac:dyDescent="0.4">
      <c r="C235" t="str">
        <f t="shared" si="38"/>
        <v/>
      </c>
    </row>
    <row r="236" spans="1:3" x14ac:dyDescent="0.4">
      <c r="A236">
        <f t="shared" ref="A236" si="45">A230+1</f>
        <v>40</v>
      </c>
      <c r="B236" t="s">
        <v>19</v>
      </c>
      <c r="C236" t="str">
        <f t="shared" si="38"/>
        <v xml:space="preserve">        Play_Button40_Press = TimerIdOffsets.Button + 400 + TimerIdOffsets.Press,</v>
      </c>
    </row>
    <row r="237" spans="1:3" x14ac:dyDescent="0.4">
      <c r="A237">
        <f t="shared" si="40"/>
        <v>40</v>
      </c>
      <c r="B237" t="s">
        <v>20</v>
      </c>
      <c r="C237" t="str">
        <f t="shared" si="38"/>
        <v xml:space="preserve">        Play_Button40_Release = TimerIdOffsets.Button + 400 + TimerIdOffsets.Release,</v>
      </c>
    </row>
    <row r="238" spans="1:3" x14ac:dyDescent="0.4">
      <c r="A238">
        <f t="shared" si="40"/>
        <v>40</v>
      </c>
      <c r="B238" t="s">
        <v>21</v>
      </c>
      <c r="C238" t="str">
        <f t="shared" si="38"/>
        <v xml:space="preserve">        Play_Button40_Bomb = TimerIdOffsets.Button + 400 + TimerIdOffsets.Bomb,</v>
      </c>
    </row>
    <row r="239" spans="1:3" x14ac:dyDescent="0.4">
      <c r="A239">
        <f t="shared" si="40"/>
        <v>40</v>
      </c>
      <c r="B239" t="s">
        <v>22</v>
      </c>
      <c r="C239" t="str">
        <f t="shared" si="38"/>
        <v xml:space="preserve">        Play_Button40_LongBomb = TimerIdOffsets.Button + 400 + TimerIdOffsets.LongBomb,</v>
      </c>
    </row>
    <row r="240" spans="1:3" x14ac:dyDescent="0.4">
      <c r="A240">
        <f t="shared" si="40"/>
        <v>40</v>
      </c>
      <c r="B240" t="s">
        <v>23</v>
      </c>
      <c r="C240" t="str">
        <f t="shared" si="38"/>
        <v xml:space="preserve">        Play_Button40_Mine = TimerIdOffsets.Button + 400 + TimerIdOffsets.Mine,</v>
      </c>
    </row>
    <row r="241" spans="1:3" x14ac:dyDescent="0.4">
      <c r="C241" t="str">
        <f t="shared" si="38"/>
        <v/>
      </c>
    </row>
    <row r="242" spans="1:3" x14ac:dyDescent="0.4">
      <c r="A242">
        <f t="shared" ref="A242" si="46">A236+1</f>
        <v>41</v>
      </c>
      <c r="B242" t="s">
        <v>19</v>
      </c>
      <c r="C242" t="str">
        <f t="shared" si="38"/>
        <v xml:space="preserve">        Play_Button41_Press = TimerIdOffsets.Button + 410 + TimerIdOffsets.Press,</v>
      </c>
    </row>
    <row r="243" spans="1:3" x14ac:dyDescent="0.4">
      <c r="A243">
        <f t="shared" si="40"/>
        <v>41</v>
      </c>
      <c r="B243" t="s">
        <v>20</v>
      </c>
      <c r="C243" t="str">
        <f t="shared" si="38"/>
        <v xml:space="preserve">        Play_Button41_Release = TimerIdOffsets.Button + 410 + TimerIdOffsets.Release,</v>
      </c>
    </row>
    <row r="244" spans="1:3" x14ac:dyDescent="0.4">
      <c r="A244">
        <f t="shared" si="40"/>
        <v>41</v>
      </c>
      <c r="B244" t="s">
        <v>21</v>
      </c>
      <c r="C244" t="str">
        <f t="shared" si="38"/>
        <v xml:space="preserve">        Play_Button41_Bomb = TimerIdOffsets.Button + 410 + TimerIdOffsets.Bomb,</v>
      </c>
    </row>
    <row r="245" spans="1:3" x14ac:dyDescent="0.4">
      <c r="A245">
        <f t="shared" si="40"/>
        <v>41</v>
      </c>
      <c r="B245" t="s">
        <v>22</v>
      </c>
      <c r="C245" t="str">
        <f t="shared" si="38"/>
        <v xml:space="preserve">        Play_Button41_LongBomb = TimerIdOffsets.Button + 410 + TimerIdOffsets.LongBomb,</v>
      </c>
    </row>
    <row r="246" spans="1:3" x14ac:dyDescent="0.4">
      <c r="A246">
        <f t="shared" si="40"/>
        <v>41</v>
      </c>
      <c r="B246" t="s">
        <v>23</v>
      </c>
      <c r="C246" t="str">
        <f t="shared" si="38"/>
        <v xml:space="preserve">        Play_Button41_Mine = TimerIdOffsets.Button + 410 + TimerIdOffsets.Mine,</v>
      </c>
    </row>
    <row r="247" spans="1:3" x14ac:dyDescent="0.4">
      <c r="C247" t="str">
        <f t="shared" si="38"/>
        <v/>
      </c>
    </row>
    <row r="248" spans="1:3" x14ac:dyDescent="0.4">
      <c r="A248">
        <f t="shared" ref="A248" si="47">A242+1</f>
        <v>42</v>
      </c>
      <c r="B248" t="s">
        <v>19</v>
      </c>
      <c r="C248" t="str">
        <f t="shared" si="38"/>
        <v xml:space="preserve">        Play_Button42_Press = TimerIdOffsets.Button + 420 + TimerIdOffsets.Press,</v>
      </c>
    </row>
    <row r="249" spans="1:3" x14ac:dyDescent="0.4">
      <c r="A249">
        <f t="shared" si="40"/>
        <v>42</v>
      </c>
      <c r="B249" t="s">
        <v>20</v>
      </c>
      <c r="C249" t="str">
        <f t="shared" si="38"/>
        <v xml:space="preserve">        Play_Button42_Release = TimerIdOffsets.Button + 420 + TimerIdOffsets.Release,</v>
      </c>
    </row>
    <row r="250" spans="1:3" x14ac:dyDescent="0.4">
      <c r="A250">
        <f t="shared" si="40"/>
        <v>42</v>
      </c>
      <c r="B250" t="s">
        <v>21</v>
      </c>
      <c r="C250" t="str">
        <f t="shared" si="38"/>
        <v xml:space="preserve">        Play_Button42_Bomb = TimerIdOffsets.Button + 420 + TimerIdOffsets.Bomb,</v>
      </c>
    </row>
    <row r="251" spans="1:3" x14ac:dyDescent="0.4">
      <c r="A251">
        <f t="shared" si="40"/>
        <v>42</v>
      </c>
      <c r="B251" t="s">
        <v>22</v>
      </c>
      <c r="C251" t="str">
        <f t="shared" si="38"/>
        <v xml:space="preserve">        Play_Button42_LongBomb = TimerIdOffsets.Button + 420 + TimerIdOffsets.LongBomb,</v>
      </c>
    </row>
    <row r="252" spans="1:3" x14ac:dyDescent="0.4">
      <c r="A252">
        <f t="shared" si="40"/>
        <v>42</v>
      </c>
      <c r="B252" t="s">
        <v>23</v>
      </c>
      <c r="C252" t="str">
        <f t="shared" si="38"/>
        <v xml:space="preserve">        Play_Button42_Mine = TimerIdOffsets.Button + 420 + TimerIdOffsets.Mine,</v>
      </c>
    </row>
    <row r="253" spans="1:3" x14ac:dyDescent="0.4">
      <c r="C253" t="str">
        <f t="shared" si="38"/>
        <v/>
      </c>
    </row>
    <row r="254" spans="1:3" x14ac:dyDescent="0.4">
      <c r="A254">
        <f t="shared" ref="A254" si="48">A248+1</f>
        <v>43</v>
      </c>
      <c r="B254" t="s">
        <v>19</v>
      </c>
      <c r="C254" t="str">
        <f t="shared" si="38"/>
        <v xml:space="preserve">        Play_Button43_Press = TimerIdOffsets.Button + 430 + TimerIdOffsets.Press,</v>
      </c>
    </row>
    <row r="255" spans="1:3" x14ac:dyDescent="0.4">
      <c r="A255">
        <f t="shared" si="40"/>
        <v>43</v>
      </c>
      <c r="B255" t="s">
        <v>20</v>
      </c>
      <c r="C255" t="str">
        <f t="shared" si="38"/>
        <v xml:space="preserve">        Play_Button43_Release = TimerIdOffsets.Button + 430 + TimerIdOffsets.Release,</v>
      </c>
    </row>
    <row r="256" spans="1:3" x14ac:dyDescent="0.4">
      <c r="A256">
        <f t="shared" si="40"/>
        <v>43</v>
      </c>
      <c r="B256" t="s">
        <v>21</v>
      </c>
      <c r="C256" t="str">
        <f t="shared" si="38"/>
        <v xml:space="preserve">        Play_Button43_Bomb = TimerIdOffsets.Button + 430 + TimerIdOffsets.Bomb,</v>
      </c>
    </row>
    <row r="257" spans="1:3" x14ac:dyDescent="0.4">
      <c r="A257">
        <f t="shared" si="40"/>
        <v>43</v>
      </c>
      <c r="B257" t="s">
        <v>22</v>
      </c>
      <c r="C257" t="str">
        <f t="shared" si="38"/>
        <v xml:space="preserve">        Play_Button43_LongBomb = TimerIdOffsets.Button + 430 + TimerIdOffsets.LongBomb,</v>
      </c>
    </row>
    <row r="258" spans="1:3" x14ac:dyDescent="0.4">
      <c r="A258">
        <f t="shared" si="40"/>
        <v>43</v>
      </c>
      <c r="B258" t="s">
        <v>23</v>
      </c>
      <c r="C258" t="str">
        <f t="shared" si="38"/>
        <v xml:space="preserve">        Play_Button43_Mine = TimerIdOffsets.Button + 430 + TimerIdOffsets.Mine,</v>
      </c>
    </row>
    <row r="259" spans="1:3" x14ac:dyDescent="0.4">
      <c r="C259" t="str">
        <f t="shared" ref="C259:C322" si="49">IF(A259="","","        Play_Button"&amp;A259&amp;"_"&amp;B259&amp;" = TimerIdOffsets.Button + "&amp;A259&amp;"0 + TimerIdOffsets."&amp;B259&amp;",")</f>
        <v/>
      </c>
    </row>
    <row r="260" spans="1:3" x14ac:dyDescent="0.4">
      <c r="A260">
        <f t="shared" ref="A260" si="50">A254+1</f>
        <v>44</v>
      </c>
      <c r="B260" t="s">
        <v>19</v>
      </c>
      <c r="C260" t="str">
        <f t="shared" si="49"/>
        <v xml:space="preserve">        Play_Button44_Press = TimerIdOffsets.Button + 440 + TimerIdOffsets.Press,</v>
      </c>
    </row>
    <row r="261" spans="1:3" x14ac:dyDescent="0.4">
      <c r="A261">
        <f t="shared" si="40"/>
        <v>44</v>
      </c>
      <c r="B261" t="s">
        <v>20</v>
      </c>
      <c r="C261" t="str">
        <f t="shared" si="49"/>
        <v xml:space="preserve">        Play_Button44_Release = TimerIdOffsets.Button + 440 + TimerIdOffsets.Release,</v>
      </c>
    </row>
    <row r="262" spans="1:3" x14ac:dyDescent="0.4">
      <c r="A262">
        <f t="shared" si="40"/>
        <v>44</v>
      </c>
      <c r="B262" t="s">
        <v>21</v>
      </c>
      <c r="C262" t="str">
        <f t="shared" si="49"/>
        <v xml:space="preserve">        Play_Button44_Bomb = TimerIdOffsets.Button + 440 + TimerIdOffsets.Bomb,</v>
      </c>
    </row>
    <row r="263" spans="1:3" x14ac:dyDescent="0.4">
      <c r="A263">
        <f t="shared" si="40"/>
        <v>44</v>
      </c>
      <c r="B263" t="s">
        <v>22</v>
      </c>
      <c r="C263" t="str">
        <f t="shared" si="49"/>
        <v xml:space="preserve">        Play_Button44_LongBomb = TimerIdOffsets.Button + 440 + TimerIdOffsets.LongBomb,</v>
      </c>
    </row>
    <row r="264" spans="1:3" x14ac:dyDescent="0.4">
      <c r="A264">
        <f t="shared" si="40"/>
        <v>44</v>
      </c>
      <c r="B264" t="s">
        <v>23</v>
      </c>
      <c r="C264" t="str">
        <f t="shared" si="49"/>
        <v xml:space="preserve">        Play_Button44_Mine = TimerIdOffsets.Button + 440 + TimerIdOffsets.Mine,</v>
      </c>
    </row>
    <row r="265" spans="1:3" x14ac:dyDescent="0.4">
      <c r="C265" t="str">
        <f t="shared" si="49"/>
        <v/>
      </c>
    </row>
    <row r="266" spans="1:3" x14ac:dyDescent="0.4">
      <c r="A266">
        <f t="shared" ref="A266" si="51">A260+1</f>
        <v>45</v>
      </c>
      <c r="B266" t="s">
        <v>19</v>
      </c>
      <c r="C266" t="str">
        <f t="shared" si="49"/>
        <v xml:space="preserve">        Play_Button45_Press = TimerIdOffsets.Button + 450 + TimerIdOffsets.Press,</v>
      </c>
    </row>
    <row r="267" spans="1:3" x14ac:dyDescent="0.4">
      <c r="A267">
        <f t="shared" si="40"/>
        <v>45</v>
      </c>
      <c r="B267" t="s">
        <v>20</v>
      </c>
      <c r="C267" t="str">
        <f t="shared" si="49"/>
        <v xml:space="preserve">        Play_Button45_Release = TimerIdOffsets.Button + 450 + TimerIdOffsets.Release,</v>
      </c>
    </row>
    <row r="268" spans="1:3" x14ac:dyDescent="0.4">
      <c r="A268">
        <f t="shared" si="40"/>
        <v>45</v>
      </c>
      <c r="B268" t="s">
        <v>21</v>
      </c>
      <c r="C268" t="str">
        <f t="shared" si="49"/>
        <v xml:space="preserve">        Play_Button45_Bomb = TimerIdOffsets.Button + 450 + TimerIdOffsets.Bomb,</v>
      </c>
    </row>
    <row r="269" spans="1:3" x14ac:dyDescent="0.4">
      <c r="A269">
        <f t="shared" si="40"/>
        <v>45</v>
      </c>
      <c r="B269" t="s">
        <v>22</v>
      </c>
      <c r="C269" t="str">
        <f t="shared" si="49"/>
        <v xml:space="preserve">        Play_Button45_LongBomb = TimerIdOffsets.Button + 450 + TimerIdOffsets.LongBomb,</v>
      </c>
    </row>
    <row r="270" spans="1:3" x14ac:dyDescent="0.4">
      <c r="A270">
        <f t="shared" ref="A270:A333" si="52">A264+1</f>
        <v>45</v>
      </c>
      <c r="B270" t="s">
        <v>23</v>
      </c>
      <c r="C270" t="str">
        <f t="shared" si="49"/>
        <v xml:space="preserve">        Play_Button45_Mine = TimerIdOffsets.Button + 450 + TimerIdOffsets.Mine,</v>
      </c>
    </row>
    <row r="271" spans="1:3" x14ac:dyDescent="0.4">
      <c r="C271" t="str">
        <f t="shared" si="49"/>
        <v/>
      </c>
    </row>
    <row r="272" spans="1:3" x14ac:dyDescent="0.4">
      <c r="A272">
        <f t="shared" ref="A272" si="53">A266+1</f>
        <v>46</v>
      </c>
      <c r="B272" t="s">
        <v>19</v>
      </c>
      <c r="C272" t="str">
        <f t="shared" si="49"/>
        <v xml:space="preserve">        Play_Button46_Press = TimerIdOffsets.Button + 460 + TimerIdOffsets.Press,</v>
      </c>
    </row>
    <row r="273" spans="1:3" x14ac:dyDescent="0.4">
      <c r="A273">
        <f t="shared" si="52"/>
        <v>46</v>
      </c>
      <c r="B273" t="s">
        <v>20</v>
      </c>
      <c r="C273" t="str">
        <f t="shared" si="49"/>
        <v xml:space="preserve">        Play_Button46_Release = TimerIdOffsets.Button + 460 + TimerIdOffsets.Release,</v>
      </c>
    </row>
    <row r="274" spans="1:3" x14ac:dyDescent="0.4">
      <c r="A274">
        <f t="shared" si="52"/>
        <v>46</v>
      </c>
      <c r="B274" t="s">
        <v>21</v>
      </c>
      <c r="C274" t="str">
        <f t="shared" si="49"/>
        <v xml:space="preserve">        Play_Button46_Bomb = TimerIdOffsets.Button + 460 + TimerIdOffsets.Bomb,</v>
      </c>
    </row>
    <row r="275" spans="1:3" x14ac:dyDescent="0.4">
      <c r="A275">
        <f t="shared" si="52"/>
        <v>46</v>
      </c>
      <c r="B275" t="s">
        <v>22</v>
      </c>
      <c r="C275" t="str">
        <f t="shared" si="49"/>
        <v xml:space="preserve">        Play_Button46_LongBomb = TimerIdOffsets.Button + 460 + TimerIdOffsets.LongBomb,</v>
      </c>
    </row>
    <row r="276" spans="1:3" x14ac:dyDescent="0.4">
      <c r="A276">
        <f t="shared" si="52"/>
        <v>46</v>
      </c>
      <c r="B276" t="s">
        <v>23</v>
      </c>
      <c r="C276" t="str">
        <f t="shared" si="49"/>
        <v xml:space="preserve">        Play_Button46_Mine = TimerIdOffsets.Button + 460 + TimerIdOffsets.Mine,</v>
      </c>
    </row>
    <row r="277" spans="1:3" x14ac:dyDescent="0.4">
      <c r="C277" t="str">
        <f t="shared" si="49"/>
        <v/>
      </c>
    </row>
    <row r="278" spans="1:3" x14ac:dyDescent="0.4">
      <c r="A278">
        <f t="shared" ref="A278" si="54">A272+1</f>
        <v>47</v>
      </c>
      <c r="B278" t="s">
        <v>19</v>
      </c>
      <c r="C278" t="str">
        <f t="shared" si="49"/>
        <v xml:space="preserve">        Play_Button47_Press = TimerIdOffsets.Button + 470 + TimerIdOffsets.Press,</v>
      </c>
    </row>
    <row r="279" spans="1:3" x14ac:dyDescent="0.4">
      <c r="A279">
        <f t="shared" si="52"/>
        <v>47</v>
      </c>
      <c r="B279" t="s">
        <v>20</v>
      </c>
      <c r="C279" t="str">
        <f t="shared" si="49"/>
        <v xml:space="preserve">        Play_Button47_Release = TimerIdOffsets.Button + 470 + TimerIdOffsets.Release,</v>
      </c>
    </row>
    <row r="280" spans="1:3" x14ac:dyDescent="0.4">
      <c r="A280">
        <f t="shared" si="52"/>
        <v>47</v>
      </c>
      <c r="B280" t="s">
        <v>21</v>
      </c>
      <c r="C280" t="str">
        <f t="shared" si="49"/>
        <v xml:space="preserve">        Play_Button47_Bomb = TimerIdOffsets.Button + 470 + TimerIdOffsets.Bomb,</v>
      </c>
    </row>
    <row r="281" spans="1:3" x14ac:dyDescent="0.4">
      <c r="A281">
        <f t="shared" si="52"/>
        <v>47</v>
      </c>
      <c r="B281" t="s">
        <v>22</v>
      </c>
      <c r="C281" t="str">
        <f t="shared" si="49"/>
        <v xml:space="preserve">        Play_Button47_LongBomb = TimerIdOffsets.Button + 470 + TimerIdOffsets.LongBomb,</v>
      </c>
    </row>
    <row r="282" spans="1:3" x14ac:dyDescent="0.4">
      <c r="A282">
        <f t="shared" si="52"/>
        <v>47</v>
      </c>
      <c r="B282" t="s">
        <v>23</v>
      </c>
      <c r="C282" t="str">
        <f t="shared" si="49"/>
        <v xml:space="preserve">        Play_Button47_Mine = TimerIdOffsets.Button + 470 + TimerIdOffsets.Mine,</v>
      </c>
    </row>
    <row r="283" spans="1:3" x14ac:dyDescent="0.4">
      <c r="C283" t="str">
        <f t="shared" si="49"/>
        <v/>
      </c>
    </row>
    <row r="284" spans="1:3" x14ac:dyDescent="0.4">
      <c r="A284">
        <f t="shared" ref="A284" si="55">A278+1</f>
        <v>48</v>
      </c>
      <c r="B284" t="s">
        <v>19</v>
      </c>
      <c r="C284" t="str">
        <f t="shared" si="49"/>
        <v xml:space="preserve">        Play_Button48_Press = TimerIdOffsets.Button + 480 + TimerIdOffsets.Press,</v>
      </c>
    </row>
    <row r="285" spans="1:3" x14ac:dyDescent="0.4">
      <c r="A285">
        <f t="shared" si="52"/>
        <v>48</v>
      </c>
      <c r="B285" t="s">
        <v>20</v>
      </c>
      <c r="C285" t="str">
        <f t="shared" si="49"/>
        <v xml:space="preserve">        Play_Button48_Release = TimerIdOffsets.Button + 480 + TimerIdOffsets.Release,</v>
      </c>
    </row>
    <row r="286" spans="1:3" x14ac:dyDescent="0.4">
      <c r="A286">
        <f t="shared" si="52"/>
        <v>48</v>
      </c>
      <c r="B286" t="s">
        <v>21</v>
      </c>
      <c r="C286" t="str">
        <f t="shared" si="49"/>
        <v xml:space="preserve">        Play_Button48_Bomb = TimerIdOffsets.Button + 480 + TimerIdOffsets.Bomb,</v>
      </c>
    </row>
    <row r="287" spans="1:3" x14ac:dyDescent="0.4">
      <c r="A287">
        <f t="shared" si="52"/>
        <v>48</v>
      </c>
      <c r="B287" t="s">
        <v>22</v>
      </c>
      <c r="C287" t="str">
        <f t="shared" si="49"/>
        <v xml:space="preserve">        Play_Button48_LongBomb = TimerIdOffsets.Button + 480 + TimerIdOffsets.LongBomb,</v>
      </c>
    </row>
    <row r="288" spans="1:3" x14ac:dyDescent="0.4">
      <c r="A288">
        <f t="shared" si="52"/>
        <v>48</v>
      </c>
      <c r="B288" t="s">
        <v>23</v>
      </c>
      <c r="C288" t="str">
        <f t="shared" si="49"/>
        <v xml:space="preserve">        Play_Button48_Mine = TimerIdOffsets.Button + 480 + TimerIdOffsets.Mine,</v>
      </c>
    </row>
    <row r="289" spans="1:3" x14ac:dyDescent="0.4">
      <c r="C289" t="str">
        <f t="shared" si="49"/>
        <v/>
      </c>
    </row>
    <row r="290" spans="1:3" x14ac:dyDescent="0.4">
      <c r="A290">
        <f t="shared" ref="A290" si="56">A284+1</f>
        <v>49</v>
      </c>
      <c r="B290" t="s">
        <v>19</v>
      </c>
      <c r="C290" t="str">
        <f t="shared" si="49"/>
        <v xml:space="preserve">        Play_Button49_Press = TimerIdOffsets.Button + 490 + TimerIdOffsets.Press,</v>
      </c>
    </row>
    <row r="291" spans="1:3" x14ac:dyDescent="0.4">
      <c r="A291">
        <f t="shared" si="52"/>
        <v>49</v>
      </c>
      <c r="B291" t="s">
        <v>20</v>
      </c>
      <c r="C291" t="str">
        <f t="shared" si="49"/>
        <v xml:space="preserve">        Play_Button49_Release = TimerIdOffsets.Button + 490 + TimerIdOffsets.Release,</v>
      </c>
    </row>
    <row r="292" spans="1:3" x14ac:dyDescent="0.4">
      <c r="A292">
        <f t="shared" si="52"/>
        <v>49</v>
      </c>
      <c r="B292" t="s">
        <v>21</v>
      </c>
      <c r="C292" t="str">
        <f t="shared" si="49"/>
        <v xml:space="preserve">        Play_Button49_Bomb = TimerIdOffsets.Button + 490 + TimerIdOffsets.Bomb,</v>
      </c>
    </row>
    <row r="293" spans="1:3" x14ac:dyDescent="0.4">
      <c r="A293">
        <f t="shared" si="52"/>
        <v>49</v>
      </c>
      <c r="B293" t="s">
        <v>22</v>
      </c>
      <c r="C293" t="str">
        <f t="shared" si="49"/>
        <v xml:space="preserve">        Play_Button49_LongBomb = TimerIdOffsets.Button + 490 + TimerIdOffsets.LongBomb,</v>
      </c>
    </row>
    <row r="294" spans="1:3" x14ac:dyDescent="0.4">
      <c r="A294">
        <f t="shared" si="52"/>
        <v>49</v>
      </c>
      <c r="B294" t="s">
        <v>23</v>
      </c>
      <c r="C294" t="str">
        <f t="shared" si="49"/>
        <v xml:space="preserve">        Play_Button49_Mine = TimerIdOffsets.Button + 490 + TimerIdOffsets.Mine,</v>
      </c>
    </row>
    <row r="295" spans="1:3" x14ac:dyDescent="0.4">
      <c r="C295" t="str">
        <f t="shared" si="49"/>
        <v/>
      </c>
    </row>
    <row r="296" spans="1:3" x14ac:dyDescent="0.4">
      <c r="A296">
        <f t="shared" ref="A296" si="57">A290+1</f>
        <v>50</v>
      </c>
      <c r="B296" t="s">
        <v>19</v>
      </c>
      <c r="C296" t="str">
        <f t="shared" si="49"/>
        <v xml:space="preserve">        Play_Button50_Press = TimerIdOffsets.Button + 500 + TimerIdOffsets.Press,</v>
      </c>
    </row>
    <row r="297" spans="1:3" x14ac:dyDescent="0.4">
      <c r="A297">
        <f t="shared" si="52"/>
        <v>50</v>
      </c>
      <c r="B297" t="s">
        <v>20</v>
      </c>
      <c r="C297" t="str">
        <f t="shared" si="49"/>
        <v xml:space="preserve">        Play_Button50_Release = TimerIdOffsets.Button + 500 + TimerIdOffsets.Release,</v>
      </c>
    </row>
    <row r="298" spans="1:3" x14ac:dyDescent="0.4">
      <c r="A298">
        <f t="shared" si="52"/>
        <v>50</v>
      </c>
      <c r="B298" t="s">
        <v>21</v>
      </c>
      <c r="C298" t="str">
        <f t="shared" si="49"/>
        <v xml:space="preserve">        Play_Button50_Bomb = TimerIdOffsets.Button + 500 + TimerIdOffsets.Bomb,</v>
      </c>
    </row>
    <row r="299" spans="1:3" x14ac:dyDescent="0.4">
      <c r="A299">
        <f t="shared" si="52"/>
        <v>50</v>
      </c>
      <c r="B299" t="s">
        <v>22</v>
      </c>
      <c r="C299" t="str">
        <f t="shared" si="49"/>
        <v xml:space="preserve">        Play_Button50_LongBomb = TimerIdOffsets.Button + 500 + TimerIdOffsets.LongBomb,</v>
      </c>
    </row>
    <row r="300" spans="1:3" x14ac:dyDescent="0.4">
      <c r="A300">
        <f t="shared" si="52"/>
        <v>50</v>
      </c>
      <c r="B300" t="s">
        <v>23</v>
      </c>
      <c r="C300" t="str">
        <f t="shared" si="49"/>
        <v xml:space="preserve">        Play_Button50_Mine = TimerIdOffsets.Button + 500 + TimerIdOffsets.Mine,</v>
      </c>
    </row>
    <row r="301" spans="1:3" x14ac:dyDescent="0.4">
      <c r="C301" t="str">
        <f t="shared" si="49"/>
        <v/>
      </c>
    </row>
    <row r="302" spans="1:3" x14ac:dyDescent="0.4">
      <c r="A302">
        <f t="shared" ref="A302" si="58">A296+1</f>
        <v>51</v>
      </c>
      <c r="B302" t="s">
        <v>19</v>
      </c>
      <c r="C302" t="str">
        <f t="shared" si="49"/>
        <v xml:space="preserve">        Play_Button51_Press = TimerIdOffsets.Button + 510 + TimerIdOffsets.Press,</v>
      </c>
    </row>
    <row r="303" spans="1:3" x14ac:dyDescent="0.4">
      <c r="A303">
        <f t="shared" si="52"/>
        <v>51</v>
      </c>
      <c r="B303" t="s">
        <v>20</v>
      </c>
      <c r="C303" t="str">
        <f t="shared" si="49"/>
        <v xml:space="preserve">        Play_Button51_Release = TimerIdOffsets.Button + 510 + TimerIdOffsets.Release,</v>
      </c>
    </row>
    <row r="304" spans="1:3" x14ac:dyDescent="0.4">
      <c r="A304">
        <f t="shared" si="52"/>
        <v>51</v>
      </c>
      <c r="B304" t="s">
        <v>21</v>
      </c>
      <c r="C304" t="str">
        <f t="shared" si="49"/>
        <v xml:space="preserve">        Play_Button51_Bomb = TimerIdOffsets.Button + 510 + TimerIdOffsets.Bomb,</v>
      </c>
    </row>
    <row r="305" spans="1:3" x14ac:dyDescent="0.4">
      <c r="A305">
        <f t="shared" si="52"/>
        <v>51</v>
      </c>
      <c r="B305" t="s">
        <v>22</v>
      </c>
      <c r="C305" t="str">
        <f t="shared" si="49"/>
        <v xml:space="preserve">        Play_Button51_LongBomb = TimerIdOffsets.Button + 510 + TimerIdOffsets.LongBomb,</v>
      </c>
    </row>
    <row r="306" spans="1:3" x14ac:dyDescent="0.4">
      <c r="A306">
        <f t="shared" si="52"/>
        <v>51</v>
      </c>
      <c r="B306" t="s">
        <v>23</v>
      </c>
      <c r="C306" t="str">
        <f t="shared" si="49"/>
        <v xml:space="preserve">        Play_Button51_Mine = TimerIdOffsets.Button + 510 + TimerIdOffsets.Mine,</v>
      </c>
    </row>
    <row r="307" spans="1:3" x14ac:dyDescent="0.4">
      <c r="C307" t="str">
        <f t="shared" si="49"/>
        <v/>
      </c>
    </row>
    <row r="308" spans="1:3" x14ac:dyDescent="0.4">
      <c r="A308">
        <f t="shared" ref="A308" si="59">A302+1</f>
        <v>52</v>
      </c>
      <c r="B308" t="s">
        <v>19</v>
      </c>
      <c r="C308" t="str">
        <f t="shared" si="49"/>
        <v xml:space="preserve">        Play_Button52_Press = TimerIdOffsets.Button + 520 + TimerIdOffsets.Press,</v>
      </c>
    </row>
    <row r="309" spans="1:3" x14ac:dyDescent="0.4">
      <c r="A309">
        <f t="shared" si="52"/>
        <v>52</v>
      </c>
      <c r="B309" t="s">
        <v>20</v>
      </c>
      <c r="C309" t="str">
        <f t="shared" si="49"/>
        <v xml:space="preserve">        Play_Button52_Release = TimerIdOffsets.Button + 520 + TimerIdOffsets.Release,</v>
      </c>
    </row>
    <row r="310" spans="1:3" x14ac:dyDescent="0.4">
      <c r="A310">
        <f t="shared" si="52"/>
        <v>52</v>
      </c>
      <c r="B310" t="s">
        <v>21</v>
      </c>
      <c r="C310" t="str">
        <f t="shared" si="49"/>
        <v xml:space="preserve">        Play_Button52_Bomb = TimerIdOffsets.Button + 520 + TimerIdOffsets.Bomb,</v>
      </c>
    </row>
    <row r="311" spans="1:3" x14ac:dyDescent="0.4">
      <c r="A311">
        <f t="shared" si="52"/>
        <v>52</v>
      </c>
      <c r="B311" t="s">
        <v>22</v>
      </c>
      <c r="C311" t="str">
        <f t="shared" si="49"/>
        <v xml:space="preserve">        Play_Button52_LongBomb = TimerIdOffsets.Button + 520 + TimerIdOffsets.LongBomb,</v>
      </c>
    </row>
    <row r="312" spans="1:3" x14ac:dyDescent="0.4">
      <c r="A312">
        <f t="shared" si="52"/>
        <v>52</v>
      </c>
      <c r="B312" t="s">
        <v>23</v>
      </c>
      <c r="C312" t="str">
        <f t="shared" si="49"/>
        <v xml:space="preserve">        Play_Button52_Mine = TimerIdOffsets.Button + 520 + TimerIdOffsets.Mine,</v>
      </c>
    </row>
    <row r="313" spans="1:3" x14ac:dyDescent="0.4">
      <c r="C313" t="str">
        <f t="shared" si="49"/>
        <v/>
      </c>
    </row>
    <row r="314" spans="1:3" x14ac:dyDescent="0.4">
      <c r="A314">
        <f t="shared" ref="A314" si="60">A308+1</f>
        <v>53</v>
      </c>
      <c r="B314" t="s">
        <v>19</v>
      </c>
      <c r="C314" t="str">
        <f t="shared" si="49"/>
        <v xml:space="preserve">        Play_Button53_Press = TimerIdOffsets.Button + 530 + TimerIdOffsets.Press,</v>
      </c>
    </row>
    <row r="315" spans="1:3" x14ac:dyDescent="0.4">
      <c r="A315">
        <f t="shared" si="52"/>
        <v>53</v>
      </c>
      <c r="B315" t="s">
        <v>20</v>
      </c>
      <c r="C315" t="str">
        <f t="shared" si="49"/>
        <v xml:space="preserve">        Play_Button53_Release = TimerIdOffsets.Button + 530 + TimerIdOffsets.Release,</v>
      </c>
    </row>
    <row r="316" spans="1:3" x14ac:dyDescent="0.4">
      <c r="A316">
        <f t="shared" si="52"/>
        <v>53</v>
      </c>
      <c r="B316" t="s">
        <v>21</v>
      </c>
      <c r="C316" t="str">
        <f t="shared" si="49"/>
        <v xml:space="preserve">        Play_Button53_Bomb = TimerIdOffsets.Button + 530 + TimerIdOffsets.Bomb,</v>
      </c>
    </row>
    <row r="317" spans="1:3" x14ac:dyDescent="0.4">
      <c r="A317">
        <f t="shared" si="52"/>
        <v>53</v>
      </c>
      <c r="B317" t="s">
        <v>22</v>
      </c>
      <c r="C317" t="str">
        <f t="shared" si="49"/>
        <v xml:space="preserve">        Play_Button53_LongBomb = TimerIdOffsets.Button + 530 + TimerIdOffsets.LongBomb,</v>
      </c>
    </row>
    <row r="318" spans="1:3" x14ac:dyDescent="0.4">
      <c r="A318">
        <f t="shared" si="52"/>
        <v>53</v>
      </c>
      <c r="B318" t="s">
        <v>23</v>
      </c>
      <c r="C318" t="str">
        <f t="shared" si="49"/>
        <v xml:space="preserve">        Play_Button53_Mine = TimerIdOffsets.Button + 530 + TimerIdOffsets.Mine,</v>
      </c>
    </row>
    <row r="319" spans="1:3" x14ac:dyDescent="0.4">
      <c r="C319" t="str">
        <f t="shared" si="49"/>
        <v/>
      </c>
    </row>
    <row r="320" spans="1:3" x14ac:dyDescent="0.4">
      <c r="A320">
        <f t="shared" ref="A320" si="61">A314+1</f>
        <v>54</v>
      </c>
      <c r="B320" t="s">
        <v>19</v>
      </c>
      <c r="C320" t="str">
        <f t="shared" si="49"/>
        <v xml:space="preserve">        Play_Button54_Press = TimerIdOffsets.Button + 540 + TimerIdOffsets.Press,</v>
      </c>
    </row>
    <row r="321" spans="1:3" x14ac:dyDescent="0.4">
      <c r="A321">
        <f t="shared" si="52"/>
        <v>54</v>
      </c>
      <c r="B321" t="s">
        <v>20</v>
      </c>
      <c r="C321" t="str">
        <f t="shared" si="49"/>
        <v xml:space="preserve">        Play_Button54_Release = TimerIdOffsets.Button + 540 + TimerIdOffsets.Release,</v>
      </c>
    </row>
    <row r="322" spans="1:3" x14ac:dyDescent="0.4">
      <c r="A322">
        <f t="shared" si="52"/>
        <v>54</v>
      </c>
      <c r="B322" t="s">
        <v>21</v>
      </c>
      <c r="C322" t="str">
        <f t="shared" si="49"/>
        <v xml:space="preserve">        Play_Button54_Bomb = TimerIdOffsets.Button + 540 + TimerIdOffsets.Bomb,</v>
      </c>
    </row>
    <row r="323" spans="1:3" x14ac:dyDescent="0.4">
      <c r="A323">
        <f t="shared" si="52"/>
        <v>54</v>
      </c>
      <c r="B323" t="s">
        <v>22</v>
      </c>
      <c r="C323" t="str">
        <f t="shared" ref="C323:C386" si="62">IF(A323="","","        Play_Button"&amp;A323&amp;"_"&amp;B323&amp;" = TimerIdOffsets.Button + "&amp;A323&amp;"0 + TimerIdOffsets."&amp;B323&amp;",")</f>
        <v xml:space="preserve">        Play_Button54_LongBomb = TimerIdOffsets.Button + 540 + TimerIdOffsets.LongBomb,</v>
      </c>
    </row>
    <row r="324" spans="1:3" x14ac:dyDescent="0.4">
      <c r="A324">
        <f t="shared" si="52"/>
        <v>54</v>
      </c>
      <c r="B324" t="s">
        <v>23</v>
      </c>
      <c r="C324" t="str">
        <f t="shared" si="62"/>
        <v xml:space="preserve">        Play_Button54_Mine = TimerIdOffsets.Button + 540 + TimerIdOffsets.Mine,</v>
      </c>
    </row>
    <row r="325" spans="1:3" x14ac:dyDescent="0.4">
      <c r="C325" t="str">
        <f t="shared" si="62"/>
        <v/>
      </c>
    </row>
    <row r="326" spans="1:3" x14ac:dyDescent="0.4">
      <c r="A326">
        <f t="shared" ref="A326" si="63">A320+1</f>
        <v>55</v>
      </c>
      <c r="B326" t="s">
        <v>19</v>
      </c>
      <c r="C326" t="str">
        <f t="shared" si="62"/>
        <v xml:space="preserve">        Play_Button55_Press = TimerIdOffsets.Button + 550 + TimerIdOffsets.Press,</v>
      </c>
    </row>
    <row r="327" spans="1:3" x14ac:dyDescent="0.4">
      <c r="A327">
        <f t="shared" si="52"/>
        <v>55</v>
      </c>
      <c r="B327" t="s">
        <v>20</v>
      </c>
      <c r="C327" t="str">
        <f t="shared" si="62"/>
        <v xml:space="preserve">        Play_Button55_Release = TimerIdOffsets.Button + 550 + TimerIdOffsets.Release,</v>
      </c>
    </row>
    <row r="328" spans="1:3" x14ac:dyDescent="0.4">
      <c r="A328">
        <f t="shared" si="52"/>
        <v>55</v>
      </c>
      <c r="B328" t="s">
        <v>21</v>
      </c>
      <c r="C328" t="str">
        <f t="shared" si="62"/>
        <v xml:space="preserve">        Play_Button55_Bomb = TimerIdOffsets.Button + 550 + TimerIdOffsets.Bomb,</v>
      </c>
    </row>
    <row r="329" spans="1:3" x14ac:dyDescent="0.4">
      <c r="A329">
        <f t="shared" si="52"/>
        <v>55</v>
      </c>
      <c r="B329" t="s">
        <v>22</v>
      </c>
      <c r="C329" t="str">
        <f t="shared" si="62"/>
        <v xml:space="preserve">        Play_Button55_LongBomb = TimerIdOffsets.Button + 550 + TimerIdOffsets.LongBomb,</v>
      </c>
    </row>
    <row r="330" spans="1:3" x14ac:dyDescent="0.4">
      <c r="A330">
        <f t="shared" si="52"/>
        <v>55</v>
      </c>
      <c r="B330" t="s">
        <v>23</v>
      </c>
      <c r="C330" t="str">
        <f t="shared" si="62"/>
        <v xml:space="preserve">        Play_Button55_Mine = TimerIdOffsets.Button + 550 + TimerIdOffsets.Mine,</v>
      </c>
    </row>
    <row r="331" spans="1:3" x14ac:dyDescent="0.4">
      <c r="C331" t="str">
        <f t="shared" si="62"/>
        <v/>
      </c>
    </row>
    <row r="332" spans="1:3" x14ac:dyDescent="0.4">
      <c r="A332">
        <f t="shared" ref="A332" si="64">A326+1</f>
        <v>56</v>
      </c>
      <c r="B332" t="s">
        <v>19</v>
      </c>
      <c r="C332" t="str">
        <f t="shared" si="62"/>
        <v xml:space="preserve">        Play_Button56_Press = TimerIdOffsets.Button + 560 + TimerIdOffsets.Press,</v>
      </c>
    </row>
    <row r="333" spans="1:3" x14ac:dyDescent="0.4">
      <c r="A333">
        <f t="shared" si="52"/>
        <v>56</v>
      </c>
      <c r="B333" t="s">
        <v>20</v>
      </c>
      <c r="C333" t="str">
        <f t="shared" si="62"/>
        <v xml:space="preserve">        Play_Button56_Release = TimerIdOffsets.Button + 560 + TimerIdOffsets.Release,</v>
      </c>
    </row>
    <row r="334" spans="1:3" x14ac:dyDescent="0.4">
      <c r="A334">
        <f t="shared" ref="A334:A396" si="65">A328+1</f>
        <v>56</v>
      </c>
      <c r="B334" t="s">
        <v>21</v>
      </c>
      <c r="C334" t="str">
        <f t="shared" si="62"/>
        <v xml:space="preserve">        Play_Button56_Bomb = TimerIdOffsets.Button + 560 + TimerIdOffsets.Bomb,</v>
      </c>
    </row>
    <row r="335" spans="1:3" x14ac:dyDescent="0.4">
      <c r="A335">
        <f t="shared" si="65"/>
        <v>56</v>
      </c>
      <c r="B335" t="s">
        <v>22</v>
      </c>
      <c r="C335" t="str">
        <f t="shared" si="62"/>
        <v xml:space="preserve">        Play_Button56_LongBomb = TimerIdOffsets.Button + 560 + TimerIdOffsets.LongBomb,</v>
      </c>
    </row>
    <row r="336" spans="1:3" x14ac:dyDescent="0.4">
      <c r="A336">
        <f t="shared" si="65"/>
        <v>56</v>
      </c>
      <c r="B336" t="s">
        <v>23</v>
      </c>
      <c r="C336" t="str">
        <f t="shared" si="62"/>
        <v xml:space="preserve">        Play_Button56_Mine = TimerIdOffsets.Button + 560 + TimerIdOffsets.Mine,</v>
      </c>
    </row>
    <row r="337" spans="1:3" x14ac:dyDescent="0.4">
      <c r="C337" t="str">
        <f t="shared" si="62"/>
        <v/>
      </c>
    </row>
    <row r="338" spans="1:3" x14ac:dyDescent="0.4">
      <c r="A338">
        <f t="shared" ref="A338" si="66">A332+1</f>
        <v>57</v>
      </c>
      <c r="B338" t="s">
        <v>19</v>
      </c>
      <c r="C338" t="str">
        <f t="shared" si="62"/>
        <v xml:space="preserve">        Play_Button57_Press = TimerIdOffsets.Button + 570 + TimerIdOffsets.Press,</v>
      </c>
    </row>
    <row r="339" spans="1:3" x14ac:dyDescent="0.4">
      <c r="A339">
        <f t="shared" si="65"/>
        <v>57</v>
      </c>
      <c r="B339" t="s">
        <v>20</v>
      </c>
      <c r="C339" t="str">
        <f t="shared" si="62"/>
        <v xml:space="preserve">        Play_Button57_Release = TimerIdOffsets.Button + 570 + TimerIdOffsets.Release,</v>
      </c>
    </row>
    <row r="340" spans="1:3" x14ac:dyDescent="0.4">
      <c r="A340">
        <f t="shared" si="65"/>
        <v>57</v>
      </c>
      <c r="B340" t="s">
        <v>21</v>
      </c>
      <c r="C340" t="str">
        <f t="shared" si="62"/>
        <v xml:space="preserve">        Play_Button57_Bomb = TimerIdOffsets.Button + 570 + TimerIdOffsets.Bomb,</v>
      </c>
    </row>
    <row r="341" spans="1:3" x14ac:dyDescent="0.4">
      <c r="A341">
        <f t="shared" si="65"/>
        <v>57</v>
      </c>
      <c r="B341" t="s">
        <v>22</v>
      </c>
      <c r="C341" t="str">
        <f t="shared" si="62"/>
        <v xml:space="preserve">        Play_Button57_LongBomb = TimerIdOffsets.Button + 570 + TimerIdOffsets.LongBomb,</v>
      </c>
    </row>
    <row r="342" spans="1:3" x14ac:dyDescent="0.4">
      <c r="A342">
        <f t="shared" si="65"/>
        <v>57</v>
      </c>
      <c r="B342" t="s">
        <v>23</v>
      </c>
      <c r="C342" t="str">
        <f t="shared" si="62"/>
        <v xml:space="preserve">        Play_Button57_Mine = TimerIdOffsets.Button + 570 + TimerIdOffsets.Mine,</v>
      </c>
    </row>
    <row r="343" spans="1:3" x14ac:dyDescent="0.4">
      <c r="C343" t="str">
        <f t="shared" si="62"/>
        <v/>
      </c>
    </row>
    <row r="344" spans="1:3" x14ac:dyDescent="0.4">
      <c r="A344">
        <f t="shared" ref="A344" si="67">A338+1</f>
        <v>58</v>
      </c>
      <c r="B344" t="s">
        <v>19</v>
      </c>
      <c r="C344" t="str">
        <f t="shared" si="62"/>
        <v xml:space="preserve">        Play_Button58_Press = TimerIdOffsets.Button + 580 + TimerIdOffsets.Press,</v>
      </c>
    </row>
    <row r="345" spans="1:3" x14ac:dyDescent="0.4">
      <c r="A345">
        <f t="shared" si="65"/>
        <v>58</v>
      </c>
      <c r="B345" t="s">
        <v>20</v>
      </c>
      <c r="C345" t="str">
        <f t="shared" si="62"/>
        <v xml:space="preserve">        Play_Button58_Release = TimerIdOffsets.Button + 580 + TimerIdOffsets.Release,</v>
      </c>
    </row>
    <row r="346" spans="1:3" x14ac:dyDescent="0.4">
      <c r="A346">
        <f t="shared" si="65"/>
        <v>58</v>
      </c>
      <c r="B346" t="s">
        <v>21</v>
      </c>
      <c r="C346" t="str">
        <f t="shared" si="62"/>
        <v xml:space="preserve">        Play_Button58_Bomb = TimerIdOffsets.Button + 580 + TimerIdOffsets.Bomb,</v>
      </c>
    </row>
    <row r="347" spans="1:3" x14ac:dyDescent="0.4">
      <c r="A347">
        <f t="shared" si="65"/>
        <v>58</v>
      </c>
      <c r="B347" t="s">
        <v>22</v>
      </c>
      <c r="C347" t="str">
        <f t="shared" si="62"/>
        <v xml:space="preserve">        Play_Button58_LongBomb = TimerIdOffsets.Button + 580 + TimerIdOffsets.LongBomb,</v>
      </c>
    </row>
    <row r="348" spans="1:3" x14ac:dyDescent="0.4">
      <c r="A348">
        <f t="shared" si="65"/>
        <v>58</v>
      </c>
      <c r="B348" t="s">
        <v>23</v>
      </c>
      <c r="C348" t="str">
        <f t="shared" si="62"/>
        <v xml:space="preserve">        Play_Button58_Mine = TimerIdOffsets.Button + 580 + TimerIdOffsets.Mine,</v>
      </c>
    </row>
    <row r="349" spans="1:3" x14ac:dyDescent="0.4">
      <c r="C349" t="str">
        <f t="shared" si="62"/>
        <v/>
      </c>
    </row>
    <row r="350" spans="1:3" x14ac:dyDescent="0.4">
      <c r="A350">
        <f t="shared" ref="A350" si="68">A344+1</f>
        <v>59</v>
      </c>
      <c r="B350" t="s">
        <v>19</v>
      </c>
      <c r="C350" t="str">
        <f t="shared" si="62"/>
        <v xml:space="preserve">        Play_Button59_Press = TimerIdOffsets.Button + 590 + TimerIdOffsets.Press,</v>
      </c>
    </row>
    <row r="351" spans="1:3" x14ac:dyDescent="0.4">
      <c r="A351">
        <f t="shared" si="65"/>
        <v>59</v>
      </c>
      <c r="B351" t="s">
        <v>20</v>
      </c>
      <c r="C351" t="str">
        <f t="shared" si="62"/>
        <v xml:space="preserve">        Play_Button59_Release = TimerIdOffsets.Button + 590 + TimerIdOffsets.Release,</v>
      </c>
    </row>
    <row r="352" spans="1:3" x14ac:dyDescent="0.4">
      <c r="A352">
        <f t="shared" si="65"/>
        <v>59</v>
      </c>
      <c r="B352" t="s">
        <v>21</v>
      </c>
      <c r="C352" t="str">
        <f t="shared" si="62"/>
        <v xml:space="preserve">        Play_Button59_Bomb = TimerIdOffsets.Button + 590 + TimerIdOffsets.Bomb,</v>
      </c>
    </row>
    <row r="353" spans="1:3" x14ac:dyDescent="0.4">
      <c r="A353">
        <f t="shared" si="65"/>
        <v>59</v>
      </c>
      <c r="B353" t="s">
        <v>22</v>
      </c>
      <c r="C353" t="str">
        <f t="shared" si="62"/>
        <v xml:space="preserve">        Play_Button59_LongBomb = TimerIdOffsets.Button + 590 + TimerIdOffsets.LongBomb,</v>
      </c>
    </row>
    <row r="354" spans="1:3" x14ac:dyDescent="0.4">
      <c r="A354">
        <f t="shared" si="65"/>
        <v>59</v>
      </c>
      <c r="B354" t="s">
        <v>23</v>
      </c>
      <c r="C354" t="str">
        <f t="shared" si="62"/>
        <v xml:space="preserve">        Play_Button59_Mine = TimerIdOffsets.Button + 590 + TimerIdOffsets.Mine,</v>
      </c>
    </row>
    <row r="355" spans="1:3" x14ac:dyDescent="0.4">
      <c r="C355" t="str">
        <f t="shared" si="62"/>
        <v/>
      </c>
    </row>
    <row r="356" spans="1:3" x14ac:dyDescent="0.4">
      <c r="A356">
        <f t="shared" ref="A356" si="69">A350+1</f>
        <v>60</v>
      </c>
      <c r="B356" t="s">
        <v>19</v>
      </c>
      <c r="C356" t="str">
        <f t="shared" si="62"/>
        <v xml:space="preserve">        Play_Button60_Press = TimerIdOffsets.Button + 600 + TimerIdOffsets.Press,</v>
      </c>
    </row>
    <row r="357" spans="1:3" x14ac:dyDescent="0.4">
      <c r="A357">
        <f t="shared" si="65"/>
        <v>60</v>
      </c>
      <c r="B357" t="s">
        <v>20</v>
      </c>
      <c r="C357" t="str">
        <f t="shared" si="62"/>
        <v xml:space="preserve">        Play_Button60_Release = TimerIdOffsets.Button + 600 + TimerIdOffsets.Release,</v>
      </c>
    </row>
    <row r="358" spans="1:3" x14ac:dyDescent="0.4">
      <c r="A358">
        <f t="shared" si="65"/>
        <v>60</v>
      </c>
      <c r="B358" t="s">
        <v>21</v>
      </c>
      <c r="C358" t="str">
        <f t="shared" si="62"/>
        <v xml:space="preserve">        Play_Button60_Bomb = TimerIdOffsets.Button + 600 + TimerIdOffsets.Bomb,</v>
      </c>
    </row>
    <row r="359" spans="1:3" x14ac:dyDescent="0.4">
      <c r="A359">
        <f t="shared" si="65"/>
        <v>60</v>
      </c>
      <c r="B359" t="s">
        <v>22</v>
      </c>
      <c r="C359" t="str">
        <f t="shared" si="62"/>
        <v xml:space="preserve">        Play_Button60_LongBomb = TimerIdOffsets.Button + 600 + TimerIdOffsets.LongBomb,</v>
      </c>
    </row>
    <row r="360" spans="1:3" x14ac:dyDescent="0.4">
      <c r="A360">
        <f t="shared" si="65"/>
        <v>60</v>
      </c>
      <c r="B360" t="s">
        <v>23</v>
      </c>
      <c r="C360" t="str">
        <f t="shared" si="62"/>
        <v xml:space="preserve">        Play_Button60_Mine = TimerIdOffsets.Button + 600 + TimerIdOffsets.Mine,</v>
      </c>
    </row>
    <row r="361" spans="1:3" x14ac:dyDescent="0.4">
      <c r="C361" t="str">
        <f t="shared" si="62"/>
        <v/>
      </c>
    </row>
    <row r="362" spans="1:3" x14ac:dyDescent="0.4">
      <c r="A362">
        <f t="shared" ref="A362" si="70">A356+1</f>
        <v>61</v>
      </c>
      <c r="B362" t="s">
        <v>19</v>
      </c>
      <c r="C362" t="str">
        <f t="shared" si="62"/>
        <v xml:space="preserve">        Play_Button61_Press = TimerIdOffsets.Button + 610 + TimerIdOffsets.Press,</v>
      </c>
    </row>
    <row r="363" spans="1:3" x14ac:dyDescent="0.4">
      <c r="A363">
        <f t="shared" si="65"/>
        <v>61</v>
      </c>
      <c r="B363" t="s">
        <v>20</v>
      </c>
      <c r="C363" t="str">
        <f t="shared" si="62"/>
        <v xml:space="preserve">        Play_Button61_Release = TimerIdOffsets.Button + 610 + TimerIdOffsets.Release,</v>
      </c>
    </row>
    <row r="364" spans="1:3" x14ac:dyDescent="0.4">
      <c r="A364">
        <f t="shared" si="65"/>
        <v>61</v>
      </c>
      <c r="B364" t="s">
        <v>21</v>
      </c>
      <c r="C364" t="str">
        <f t="shared" si="62"/>
        <v xml:space="preserve">        Play_Button61_Bomb = TimerIdOffsets.Button + 610 + TimerIdOffsets.Bomb,</v>
      </c>
    </row>
    <row r="365" spans="1:3" x14ac:dyDescent="0.4">
      <c r="A365">
        <f t="shared" si="65"/>
        <v>61</v>
      </c>
      <c r="B365" t="s">
        <v>22</v>
      </c>
      <c r="C365" t="str">
        <f t="shared" si="62"/>
        <v xml:space="preserve">        Play_Button61_LongBomb = TimerIdOffsets.Button + 610 + TimerIdOffsets.LongBomb,</v>
      </c>
    </row>
    <row r="366" spans="1:3" x14ac:dyDescent="0.4">
      <c r="A366">
        <f t="shared" si="65"/>
        <v>61</v>
      </c>
      <c r="B366" t="s">
        <v>23</v>
      </c>
      <c r="C366" t="str">
        <f t="shared" si="62"/>
        <v xml:space="preserve">        Play_Button61_Mine = TimerIdOffsets.Button + 610 + TimerIdOffsets.Mine,</v>
      </c>
    </row>
    <row r="367" spans="1:3" x14ac:dyDescent="0.4">
      <c r="C367" t="str">
        <f t="shared" si="62"/>
        <v/>
      </c>
    </row>
    <row r="368" spans="1:3" x14ac:dyDescent="0.4">
      <c r="A368">
        <f t="shared" ref="A368:A426" si="71">A362+1</f>
        <v>62</v>
      </c>
      <c r="B368" t="s">
        <v>19</v>
      </c>
      <c r="C368" t="str">
        <f t="shared" si="62"/>
        <v xml:space="preserve">        Play_Button62_Press = TimerIdOffsets.Button + 620 + TimerIdOffsets.Press,</v>
      </c>
    </row>
    <row r="369" spans="1:3" x14ac:dyDescent="0.4">
      <c r="A369">
        <f t="shared" si="65"/>
        <v>62</v>
      </c>
      <c r="B369" t="s">
        <v>20</v>
      </c>
      <c r="C369" t="str">
        <f t="shared" si="62"/>
        <v xml:space="preserve">        Play_Button62_Release = TimerIdOffsets.Button + 620 + TimerIdOffsets.Release,</v>
      </c>
    </row>
    <row r="370" spans="1:3" x14ac:dyDescent="0.4">
      <c r="A370">
        <f t="shared" si="65"/>
        <v>62</v>
      </c>
      <c r="B370" t="s">
        <v>21</v>
      </c>
      <c r="C370" t="str">
        <f t="shared" si="62"/>
        <v xml:space="preserve">        Play_Button62_Bomb = TimerIdOffsets.Button + 620 + TimerIdOffsets.Bomb,</v>
      </c>
    </row>
    <row r="371" spans="1:3" x14ac:dyDescent="0.4">
      <c r="A371">
        <f t="shared" si="65"/>
        <v>62</v>
      </c>
      <c r="B371" t="s">
        <v>22</v>
      </c>
      <c r="C371" t="str">
        <f t="shared" si="62"/>
        <v xml:space="preserve">        Play_Button62_LongBomb = TimerIdOffsets.Button + 620 + TimerIdOffsets.LongBomb,</v>
      </c>
    </row>
    <row r="372" spans="1:3" x14ac:dyDescent="0.4">
      <c r="A372">
        <f t="shared" si="65"/>
        <v>62</v>
      </c>
      <c r="B372" t="s">
        <v>23</v>
      </c>
      <c r="C372" t="str">
        <f t="shared" si="62"/>
        <v xml:space="preserve">        Play_Button62_Mine = TimerIdOffsets.Button + 620 + TimerIdOffsets.Mine,</v>
      </c>
    </row>
    <row r="373" spans="1:3" x14ac:dyDescent="0.4">
      <c r="C373" t="str">
        <f t="shared" si="62"/>
        <v/>
      </c>
    </row>
    <row r="374" spans="1:3" x14ac:dyDescent="0.4">
      <c r="A374">
        <f t="shared" si="71"/>
        <v>63</v>
      </c>
      <c r="B374" t="s">
        <v>19</v>
      </c>
      <c r="C374" t="str">
        <f t="shared" si="62"/>
        <v xml:space="preserve">        Play_Button63_Press = TimerIdOffsets.Button + 630 + TimerIdOffsets.Press,</v>
      </c>
    </row>
    <row r="375" spans="1:3" x14ac:dyDescent="0.4">
      <c r="A375">
        <f t="shared" si="65"/>
        <v>63</v>
      </c>
      <c r="B375" t="s">
        <v>20</v>
      </c>
      <c r="C375" t="str">
        <f t="shared" si="62"/>
        <v xml:space="preserve">        Play_Button63_Release = TimerIdOffsets.Button + 630 + TimerIdOffsets.Release,</v>
      </c>
    </row>
    <row r="376" spans="1:3" x14ac:dyDescent="0.4">
      <c r="A376">
        <f t="shared" si="65"/>
        <v>63</v>
      </c>
      <c r="B376" t="s">
        <v>21</v>
      </c>
      <c r="C376" t="str">
        <f t="shared" si="62"/>
        <v xml:space="preserve">        Play_Button63_Bomb = TimerIdOffsets.Button + 630 + TimerIdOffsets.Bomb,</v>
      </c>
    </row>
    <row r="377" spans="1:3" x14ac:dyDescent="0.4">
      <c r="A377">
        <f t="shared" si="65"/>
        <v>63</v>
      </c>
      <c r="B377" t="s">
        <v>22</v>
      </c>
      <c r="C377" t="str">
        <f t="shared" si="62"/>
        <v xml:space="preserve">        Play_Button63_LongBomb = TimerIdOffsets.Button + 630 + TimerIdOffsets.LongBomb,</v>
      </c>
    </row>
    <row r="378" spans="1:3" x14ac:dyDescent="0.4">
      <c r="A378">
        <f t="shared" si="65"/>
        <v>63</v>
      </c>
      <c r="B378" t="s">
        <v>23</v>
      </c>
      <c r="C378" t="str">
        <f t="shared" si="62"/>
        <v xml:space="preserve">        Play_Button63_Mine = TimerIdOffsets.Button + 630 + TimerIdOffsets.Mine,</v>
      </c>
    </row>
    <row r="379" spans="1:3" x14ac:dyDescent="0.4">
      <c r="C379" t="str">
        <f t="shared" si="62"/>
        <v/>
      </c>
    </row>
    <row r="380" spans="1:3" x14ac:dyDescent="0.4">
      <c r="A380">
        <f t="shared" si="71"/>
        <v>64</v>
      </c>
      <c r="B380" t="s">
        <v>19</v>
      </c>
      <c r="C380" t="str">
        <f t="shared" si="62"/>
        <v xml:space="preserve">        Play_Button64_Press = TimerIdOffsets.Button + 640 + TimerIdOffsets.Press,</v>
      </c>
    </row>
    <row r="381" spans="1:3" x14ac:dyDescent="0.4">
      <c r="A381">
        <f t="shared" si="65"/>
        <v>64</v>
      </c>
      <c r="B381" t="s">
        <v>20</v>
      </c>
      <c r="C381" t="str">
        <f t="shared" si="62"/>
        <v xml:space="preserve">        Play_Button64_Release = TimerIdOffsets.Button + 640 + TimerIdOffsets.Release,</v>
      </c>
    </row>
    <row r="382" spans="1:3" x14ac:dyDescent="0.4">
      <c r="A382">
        <f t="shared" si="65"/>
        <v>64</v>
      </c>
      <c r="B382" t="s">
        <v>21</v>
      </c>
      <c r="C382" t="str">
        <f t="shared" si="62"/>
        <v xml:space="preserve">        Play_Button64_Bomb = TimerIdOffsets.Button + 640 + TimerIdOffsets.Bomb,</v>
      </c>
    </row>
    <row r="383" spans="1:3" x14ac:dyDescent="0.4">
      <c r="A383">
        <f t="shared" si="65"/>
        <v>64</v>
      </c>
      <c r="B383" t="s">
        <v>22</v>
      </c>
      <c r="C383" t="str">
        <f t="shared" si="62"/>
        <v xml:space="preserve">        Play_Button64_LongBomb = TimerIdOffsets.Button + 640 + TimerIdOffsets.LongBomb,</v>
      </c>
    </row>
    <row r="384" spans="1:3" x14ac:dyDescent="0.4">
      <c r="A384">
        <f t="shared" si="65"/>
        <v>64</v>
      </c>
      <c r="B384" t="s">
        <v>23</v>
      </c>
      <c r="C384" t="str">
        <f t="shared" si="62"/>
        <v xml:space="preserve">        Play_Button64_Mine = TimerIdOffsets.Button + 640 + TimerIdOffsets.Mine,</v>
      </c>
    </row>
    <row r="385" spans="1:3" x14ac:dyDescent="0.4">
      <c r="C385" t="str">
        <f t="shared" si="62"/>
        <v/>
      </c>
    </row>
    <row r="386" spans="1:3" x14ac:dyDescent="0.4">
      <c r="A386">
        <f t="shared" si="71"/>
        <v>65</v>
      </c>
      <c r="B386" t="s">
        <v>19</v>
      </c>
      <c r="C386" t="str">
        <f t="shared" si="62"/>
        <v xml:space="preserve">        Play_Button65_Press = TimerIdOffsets.Button + 650 + TimerIdOffsets.Press,</v>
      </c>
    </row>
    <row r="387" spans="1:3" x14ac:dyDescent="0.4">
      <c r="A387">
        <f t="shared" si="65"/>
        <v>65</v>
      </c>
      <c r="B387" t="s">
        <v>20</v>
      </c>
      <c r="C387" t="str">
        <f t="shared" ref="C387:C426" si="72">IF(A387="","","        Play_Button"&amp;A387&amp;"_"&amp;B387&amp;" = TimerIdOffsets.Button + "&amp;A387&amp;"0 + TimerIdOffsets."&amp;B387&amp;",")</f>
        <v xml:space="preserve">        Play_Button65_Release = TimerIdOffsets.Button + 650 + TimerIdOffsets.Release,</v>
      </c>
    </row>
    <row r="388" spans="1:3" x14ac:dyDescent="0.4">
      <c r="A388">
        <f t="shared" si="65"/>
        <v>65</v>
      </c>
      <c r="B388" t="s">
        <v>21</v>
      </c>
      <c r="C388" t="str">
        <f t="shared" si="72"/>
        <v xml:space="preserve">        Play_Button65_Bomb = TimerIdOffsets.Button + 650 + TimerIdOffsets.Bomb,</v>
      </c>
    </row>
    <row r="389" spans="1:3" x14ac:dyDescent="0.4">
      <c r="A389">
        <f t="shared" si="65"/>
        <v>65</v>
      </c>
      <c r="B389" t="s">
        <v>22</v>
      </c>
      <c r="C389" t="str">
        <f t="shared" si="72"/>
        <v xml:space="preserve">        Play_Button65_LongBomb = TimerIdOffsets.Button + 650 + TimerIdOffsets.LongBomb,</v>
      </c>
    </row>
    <row r="390" spans="1:3" x14ac:dyDescent="0.4">
      <c r="A390">
        <f t="shared" si="65"/>
        <v>65</v>
      </c>
      <c r="B390" t="s">
        <v>23</v>
      </c>
      <c r="C390" t="str">
        <f t="shared" si="72"/>
        <v xml:space="preserve">        Play_Button65_Mine = TimerIdOffsets.Button + 650 + TimerIdOffsets.Mine,</v>
      </c>
    </row>
    <row r="391" spans="1:3" x14ac:dyDescent="0.4">
      <c r="C391" t="str">
        <f t="shared" si="72"/>
        <v/>
      </c>
    </row>
    <row r="392" spans="1:3" x14ac:dyDescent="0.4">
      <c r="A392">
        <f t="shared" si="71"/>
        <v>66</v>
      </c>
      <c r="B392" t="s">
        <v>19</v>
      </c>
      <c r="C392" t="str">
        <f t="shared" si="72"/>
        <v xml:space="preserve">        Play_Button66_Press = TimerIdOffsets.Button + 660 + TimerIdOffsets.Press,</v>
      </c>
    </row>
    <row r="393" spans="1:3" x14ac:dyDescent="0.4">
      <c r="A393">
        <f t="shared" si="65"/>
        <v>66</v>
      </c>
      <c r="B393" t="s">
        <v>20</v>
      </c>
      <c r="C393" t="str">
        <f t="shared" si="72"/>
        <v xml:space="preserve">        Play_Button66_Release = TimerIdOffsets.Button + 660 + TimerIdOffsets.Release,</v>
      </c>
    </row>
    <row r="394" spans="1:3" x14ac:dyDescent="0.4">
      <c r="A394">
        <f t="shared" si="65"/>
        <v>66</v>
      </c>
      <c r="B394" t="s">
        <v>21</v>
      </c>
      <c r="C394" t="str">
        <f t="shared" si="72"/>
        <v xml:space="preserve">        Play_Button66_Bomb = TimerIdOffsets.Button + 660 + TimerIdOffsets.Bomb,</v>
      </c>
    </row>
    <row r="395" spans="1:3" x14ac:dyDescent="0.4">
      <c r="A395">
        <f t="shared" si="65"/>
        <v>66</v>
      </c>
      <c r="B395" t="s">
        <v>22</v>
      </c>
      <c r="C395" t="str">
        <f t="shared" si="72"/>
        <v xml:space="preserve">        Play_Button66_LongBomb = TimerIdOffsets.Button + 660 + TimerIdOffsets.LongBomb,</v>
      </c>
    </row>
    <row r="396" spans="1:3" x14ac:dyDescent="0.4">
      <c r="A396">
        <f t="shared" si="65"/>
        <v>66</v>
      </c>
      <c r="B396" t="s">
        <v>23</v>
      </c>
      <c r="C396" t="str">
        <f t="shared" si="72"/>
        <v xml:space="preserve">        Play_Button66_Mine = TimerIdOffsets.Button + 660 + TimerIdOffsets.Mine,</v>
      </c>
    </row>
    <row r="397" spans="1:3" x14ac:dyDescent="0.4">
      <c r="C397" t="str">
        <f t="shared" si="72"/>
        <v/>
      </c>
    </row>
    <row r="398" spans="1:3" x14ac:dyDescent="0.4">
      <c r="A398">
        <f t="shared" si="71"/>
        <v>67</v>
      </c>
      <c r="B398" t="s">
        <v>19</v>
      </c>
      <c r="C398" t="str">
        <f t="shared" si="72"/>
        <v xml:space="preserve">        Play_Button67_Press = TimerIdOffsets.Button + 670 + TimerIdOffsets.Press,</v>
      </c>
    </row>
    <row r="399" spans="1:3" x14ac:dyDescent="0.4">
      <c r="A399">
        <f t="shared" si="71"/>
        <v>67</v>
      </c>
      <c r="B399" t="s">
        <v>20</v>
      </c>
      <c r="C399" t="str">
        <f t="shared" si="72"/>
        <v xml:space="preserve">        Play_Button67_Release = TimerIdOffsets.Button + 670 + TimerIdOffsets.Release,</v>
      </c>
    </row>
    <row r="400" spans="1:3" x14ac:dyDescent="0.4">
      <c r="A400">
        <f t="shared" si="71"/>
        <v>67</v>
      </c>
      <c r="B400" t="s">
        <v>21</v>
      </c>
      <c r="C400" t="str">
        <f t="shared" si="72"/>
        <v xml:space="preserve">        Play_Button67_Bomb = TimerIdOffsets.Button + 670 + TimerIdOffsets.Bomb,</v>
      </c>
    </row>
    <row r="401" spans="1:3" x14ac:dyDescent="0.4">
      <c r="A401">
        <f t="shared" si="71"/>
        <v>67</v>
      </c>
      <c r="B401" t="s">
        <v>22</v>
      </c>
      <c r="C401" t="str">
        <f t="shared" si="72"/>
        <v xml:space="preserve">        Play_Button67_LongBomb = TimerIdOffsets.Button + 670 + TimerIdOffsets.LongBomb,</v>
      </c>
    </row>
    <row r="402" spans="1:3" x14ac:dyDescent="0.4">
      <c r="A402">
        <f t="shared" si="71"/>
        <v>67</v>
      </c>
      <c r="B402" t="s">
        <v>23</v>
      </c>
      <c r="C402" t="str">
        <f t="shared" si="72"/>
        <v xml:space="preserve">        Play_Button67_Mine = TimerIdOffsets.Button + 670 + TimerIdOffsets.Mine,</v>
      </c>
    </row>
    <row r="403" spans="1:3" x14ac:dyDescent="0.4">
      <c r="C403" t="str">
        <f t="shared" si="72"/>
        <v/>
      </c>
    </row>
    <row r="404" spans="1:3" x14ac:dyDescent="0.4">
      <c r="A404">
        <f t="shared" si="71"/>
        <v>68</v>
      </c>
      <c r="B404" t="s">
        <v>19</v>
      </c>
      <c r="C404" t="str">
        <f t="shared" si="72"/>
        <v xml:space="preserve">        Play_Button68_Press = TimerIdOffsets.Button + 680 + TimerIdOffsets.Press,</v>
      </c>
    </row>
    <row r="405" spans="1:3" x14ac:dyDescent="0.4">
      <c r="A405">
        <f t="shared" si="71"/>
        <v>68</v>
      </c>
      <c r="B405" t="s">
        <v>20</v>
      </c>
      <c r="C405" t="str">
        <f t="shared" si="72"/>
        <v xml:space="preserve">        Play_Button68_Release = TimerIdOffsets.Button + 680 + TimerIdOffsets.Release,</v>
      </c>
    </row>
    <row r="406" spans="1:3" x14ac:dyDescent="0.4">
      <c r="A406">
        <f t="shared" si="71"/>
        <v>68</v>
      </c>
      <c r="B406" t="s">
        <v>21</v>
      </c>
      <c r="C406" t="str">
        <f t="shared" si="72"/>
        <v xml:space="preserve">        Play_Button68_Bomb = TimerIdOffsets.Button + 680 + TimerIdOffsets.Bomb,</v>
      </c>
    </row>
    <row r="407" spans="1:3" x14ac:dyDescent="0.4">
      <c r="A407">
        <f t="shared" si="71"/>
        <v>68</v>
      </c>
      <c r="B407" t="s">
        <v>22</v>
      </c>
      <c r="C407" t="str">
        <f t="shared" si="72"/>
        <v xml:space="preserve">        Play_Button68_LongBomb = TimerIdOffsets.Button + 680 + TimerIdOffsets.LongBomb,</v>
      </c>
    </row>
    <row r="408" spans="1:3" x14ac:dyDescent="0.4">
      <c r="A408">
        <f t="shared" si="71"/>
        <v>68</v>
      </c>
      <c r="B408" t="s">
        <v>23</v>
      </c>
      <c r="C408" t="str">
        <f t="shared" si="72"/>
        <v xml:space="preserve">        Play_Button68_Mine = TimerIdOffsets.Button + 680 + TimerIdOffsets.Mine,</v>
      </c>
    </row>
    <row r="409" spans="1:3" x14ac:dyDescent="0.4">
      <c r="C409" t="str">
        <f t="shared" si="72"/>
        <v/>
      </c>
    </row>
    <row r="410" spans="1:3" x14ac:dyDescent="0.4">
      <c r="A410">
        <f t="shared" si="71"/>
        <v>69</v>
      </c>
      <c r="B410" t="s">
        <v>19</v>
      </c>
      <c r="C410" t="str">
        <f t="shared" si="72"/>
        <v xml:space="preserve">        Play_Button69_Press = TimerIdOffsets.Button + 690 + TimerIdOffsets.Press,</v>
      </c>
    </row>
    <row r="411" spans="1:3" x14ac:dyDescent="0.4">
      <c r="A411">
        <f t="shared" si="71"/>
        <v>69</v>
      </c>
      <c r="B411" t="s">
        <v>20</v>
      </c>
      <c r="C411" t="str">
        <f t="shared" si="72"/>
        <v xml:space="preserve">        Play_Button69_Release = TimerIdOffsets.Button + 690 + TimerIdOffsets.Release,</v>
      </c>
    </row>
    <row r="412" spans="1:3" x14ac:dyDescent="0.4">
      <c r="A412">
        <f t="shared" si="71"/>
        <v>69</v>
      </c>
      <c r="B412" t="s">
        <v>21</v>
      </c>
      <c r="C412" t="str">
        <f t="shared" si="72"/>
        <v xml:space="preserve">        Play_Button69_Bomb = TimerIdOffsets.Button + 690 + TimerIdOffsets.Bomb,</v>
      </c>
    </row>
    <row r="413" spans="1:3" x14ac:dyDescent="0.4">
      <c r="A413">
        <f t="shared" si="71"/>
        <v>69</v>
      </c>
      <c r="B413" t="s">
        <v>22</v>
      </c>
      <c r="C413" t="str">
        <f t="shared" si="72"/>
        <v xml:space="preserve">        Play_Button69_LongBomb = TimerIdOffsets.Button + 690 + TimerIdOffsets.LongBomb,</v>
      </c>
    </row>
    <row r="414" spans="1:3" x14ac:dyDescent="0.4">
      <c r="A414">
        <f t="shared" si="71"/>
        <v>69</v>
      </c>
      <c r="B414" t="s">
        <v>23</v>
      </c>
      <c r="C414" t="str">
        <f t="shared" si="72"/>
        <v xml:space="preserve">        Play_Button69_Mine = TimerIdOffsets.Button + 690 + TimerIdOffsets.Mine,</v>
      </c>
    </row>
    <row r="415" spans="1:3" x14ac:dyDescent="0.4">
      <c r="C415" t="str">
        <f t="shared" si="72"/>
        <v/>
      </c>
    </row>
    <row r="416" spans="1:3" x14ac:dyDescent="0.4">
      <c r="A416">
        <f t="shared" si="71"/>
        <v>70</v>
      </c>
      <c r="B416" t="s">
        <v>19</v>
      </c>
      <c r="C416" t="str">
        <f t="shared" si="72"/>
        <v xml:space="preserve">        Play_Button70_Press = TimerIdOffsets.Button + 700 + TimerIdOffsets.Press,</v>
      </c>
    </row>
    <row r="417" spans="1:3" x14ac:dyDescent="0.4">
      <c r="A417">
        <f t="shared" si="71"/>
        <v>70</v>
      </c>
      <c r="B417" t="s">
        <v>20</v>
      </c>
      <c r="C417" t="str">
        <f t="shared" si="72"/>
        <v xml:space="preserve">        Play_Button70_Release = TimerIdOffsets.Button + 700 + TimerIdOffsets.Release,</v>
      </c>
    </row>
    <row r="418" spans="1:3" x14ac:dyDescent="0.4">
      <c r="A418">
        <f t="shared" si="71"/>
        <v>70</v>
      </c>
      <c r="B418" t="s">
        <v>21</v>
      </c>
      <c r="C418" t="str">
        <f t="shared" si="72"/>
        <v xml:space="preserve">        Play_Button70_Bomb = TimerIdOffsets.Button + 700 + TimerIdOffsets.Bomb,</v>
      </c>
    </row>
    <row r="419" spans="1:3" x14ac:dyDescent="0.4">
      <c r="A419">
        <f t="shared" si="71"/>
        <v>70</v>
      </c>
      <c r="B419" t="s">
        <v>22</v>
      </c>
      <c r="C419" t="str">
        <f t="shared" si="72"/>
        <v xml:space="preserve">        Play_Button70_LongBomb = TimerIdOffsets.Button + 700 + TimerIdOffsets.LongBomb,</v>
      </c>
    </row>
    <row r="420" spans="1:3" x14ac:dyDescent="0.4">
      <c r="A420">
        <f t="shared" si="71"/>
        <v>70</v>
      </c>
      <c r="B420" t="s">
        <v>23</v>
      </c>
      <c r="C420" t="str">
        <f t="shared" si="72"/>
        <v xml:space="preserve">        Play_Button70_Mine = TimerIdOffsets.Button + 700 + TimerIdOffsets.Mine,</v>
      </c>
    </row>
    <row r="421" spans="1:3" x14ac:dyDescent="0.4">
      <c r="C421" t="str">
        <f t="shared" si="72"/>
        <v/>
      </c>
    </row>
    <row r="422" spans="1:3" x14ac:dyDescent="0.4">
      <c r="A422">
        <f t="shared" si="71"/>
        <v>71</v>
      </c>
      <c r="B422" t="s">
        <v>19</v>
      </c>
      <c r="C422" t="str">
        <f t="shared" si="72"/>
        <v xml:space="preserve">        Play_Button71_Press = TimerIdOffsets.Button + 710 + TimerIdOffsets.Press,</v>
      </c>
    </row>
    <row r="423" spans="1:3" x14ac:dyDescent="0.4">
      <c r="A423">
        <f t="shared" si="71"/>
        <v>71</v>
      </c>
      <c r="B423" t="s">
        <v>20</v>
      </c>
      <c r="C423" t="str">
        <f t="shared" si="72"/>
        <v xml:space="preserve">        Play_Button71_Release = TimerIdOffsets.Button + 710 + TimerIdOffsets.Release,</v>
      </c>
    </row>
    <row r="424" spans="1:3" x14ac:dyDescent="0.4">
      <c r="A424">
        <f t="shared" si="71"/>
        <v>71</v>
      </c>
      <c r="B424" t="s">
        <v>21</v>
      </c>
      <c r="C424" t="str">
        <f t="shared" si="72"/>
        <v xml:space="preserve">        Play_Button71_Bomb = TimerIdOffsets.Button + 710 + TimerIdOffsets.Bomb,</v>
      </c>
    </row>
    <row r="425" spans="1:3" x14ac:dyDescent="0.4">
      <c r="A425">
        <f t="shared" si="71"/>
        <v>71</v>
      </c>
      <c r="B425" t="s">
        <v>22</v>
      </c>
      <c r="C425" t="str">
        <f t="shared" si="72"/>
        <v xml:space="preserve">        Play_Button71_LongBomb = TimerIdOffsets.Button + 710 + TimerIdOffsets.LongBomb,</v>
      </c>
    </row>
    <row r="426" spans="1:3" x14ac:dyDescent="0.4">
      <c r="A426">
        <f t="shared" si="71"/>
        <v>71</v>
      </c>
      <c r="B426" t="s">
        <v>23</v>
      </c>
      <c r="C426" t="str">
        <f t="shared" si="72"/>
        <v xml:space="preserve">        Play_Button71_Mine = TimerIdOffsets.Button + 710 + TimerIdOffsets.Mine,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beam</vt:lpstr>
      <vt:lpstr>timerId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Rokina L</dc:creator>
  <cp:lastModifiedBy>Rokina L</cp:lastModifiedBy>
  <dcterms:created xsi:type="dcterms:W3CDTF">2025-12-03T05:07:42Z</dcterms:created>
  <dcterms:modified xsi:type="dcterms:W3CDTF">2025-12-04T12:10:15Z</dcterms:modified>
</cp:coreProperties>
</file>